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M:\Bea_Anita\cpap.hu\"/>
    </mc:Choice>
  </mc:AlternateContent>
  <xr:revisionPtr revIDLastSave="0" documentId="13_ncr:1_{A8071DE7-765C-47DB-9740-CB173BB85AC5}" xr6:coauthVersionLast="47" xr6:coauthVersionMax="47" xr10:uidLastSave="{00000000-0000-0000-0000-000000000000}"/>
  <bookViews>
    <workbookView xWindow="28680" yWindow="-45" windowWidth="29040" windowHeight="15720" xr2:uid="{DFE345C1-2356-4CE0-BB49-C8D160260109}"/>
  </bookViews>
  <sheets>
    <sheet name="Terméklista" sheetId="1" r:id="rId1"/>
    <sheet name="Kiegészítő_Mátrix" sheetId="4" r:id="rId2"/>
    <sheet name="Munka1" sheetId="5" r:id="rId3"/>
    <sheet name="Kategória leírások" sheetId="3" r:id="rId4"/>
  </sheets>
  <definedNames>
    <definedName name="_xlnm.Print_Titles" localSheetId="0">Terméklista!$1:$1</definedName>
    <definedName name="_xlnm.Print_Area" localSheetId="0">Táblázat1[[#All],[STÁTUSZ]:[KVL Mióta kapható?]]</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258" i="1" l="1"/>
  <c r="AV104" i="1"/>
  <c r="AV105" i="1"/>
  <c r="AV91" i="1"/>
  <c r="AV83" i="1"/>
  <c r="AV82" i="1"/>
  <c r="AV93" i="1"/>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D475" i="4"/>
  <c r="D476" i="4"/>
  <c r="D477" i="4"/>
  <c r="D478" i="4"/>
  <c r="D479" i="4"/>
  <c r="D480" i="4"/>
  <c r="D481" i="4"/>
  <c r="D482" i="4"/>
  <c r="D483" i="4"/>
  <c r="D484" i="4"/>
  <c r="D485" i="4"/>
  <c r="D486" i="4"/>
  <c r="D487" i="4"/>
  <c r="D488" i="4"/>
  <c r="D489" i="4"/>
  <c r="D490" i="4"/>
  <c r="D491" i="4"/>
  <c r="B475" i="4"/>
  <c r="B476" i="4"/>
  <c r="B477" i="4"/>
  <c r="B478" i="4"/>
  <c r="B479" i="4"/>
  <c r="B480" i="4"/>
  <c r="B481" i="4"/>
  <c r="B482" i="4"/>
  <c r="B483" i="4"/>
  <c r="B484" i="4"/>
  <c r="B485" i="4"/>
  <c r="B486" i="4"/>
  <c r="B487" i="4"/>
  <c r="B488" i="4"/>
  <c r="B489" i="4"/>
  <c r="B490" i="4"/>
  <c r="B491" i="4"/>
  <c r="AV263" i="1"/>
  <c r="AV231" i="1"/>
  <c r="AV252" i="1"/>
  <c r="AV262" i="1"/>
  <c r="AV259" i="1"/>
  <c r="AV260" i="1"/>
  <c r="B295" i="4"/>
  <c r="B285" i="4"/>
  <c r="B286" i="4"/>
  <c r="B287" i="4"/>
  <c r="B288" i="4"/>
  <c r="B289" i="4"/>
  <c r="B290" i="4"/>
  <c r="B291" i="4"/>
  <c r="B292" i="4"/>
  <c r="B293" i="4"/>
  <c r="D327" i="4"/>
  <c r="D328" i="4"/>
  <c r="D329" i="4"/>
  <c r="D330" i="4"/>
  <c r="D331" i="4"/>
  <c r="D332" i="4"/>
  <c r="D333" i="4"/>
  <c r="D334" i="4"/>
  <c r="D335" i="4"/>
  <c r="D336" i="4"/>
  <c r="D337" i="4"/>
  <c r="D320" i="4"/>
  <c r="D321" i="4"/>
  <c r="D322" i="4"/>
  <c r="D323" i="4"/>
  <c r="B334" i="4"/>
  <c r="B335" i="4"/>
  <c r="B336" i="4"/>
  <c r="B337" i="4"/>
  <c r="B327" i="4"/>
  <c r="B328" i="4"/>
  <c r="B329" i="4"/>
  <c r="B330" i="4"/>
  <c r="B320" i="4"/>
  <c r="B321" i="4"/>
  <c r="B322" i="4"/>
  <c r="B323" i="4"/>
  <c r="B313" i="4"/>
  <c r="B314" i="4"/>
  <c r="B315" i="4"/>
  <c r="D313" i="4"/>
  <c r="D314" i="4"/>
  <c r="D315" i="4"/>
  <c r="B306" i="4"/>
  <c r="B307" i="4"/>
  <c r="B308" i="4"/>
  <c r="D306" i="4"/>
  <c r="D307" i="4"/>
  <c r="D308" i="4"/>
  <c r="D299" i="4"/>
  <c r="D300" i="4"/>
  <c r="D301" i="4"/>
  <c r="B299" i="4"/>
  <c r="B300" i="4"/>
  <c r="B301" i="4"/>
  <c r="D258" i="4"/>
  <c r="D261" i="4"/>
  <c r="AV251" i="1"/>
  <c r="D112" i="4"/>
  <c r="D113" i="4"/>
  <c r="D114" i="4"/>
  <c r="D115" i="4"/>
  <c r="B112" i="4"/>
  <c r="B113" i="4"/>
  <c r="B114" i="4"/>
  <c r="B115" i="4"/>
  <c r="AV123" i="1"/>
  <c r="AV124" i="1"/>
  <c r="AV125" i="1"/>
  <c r="AV223" i="1"/>
  <c r="D142" i="4"/>
  <c r="D143" i="4"/>
  <c r="D144" i="4"/>
  <c r="B142" i="4"/>
  <c r="B143" i="4"/>
  <c r="B144" i="4"/>
  <c r="D138" i="4"/>
  <c r="D139" i="4"/>
  <c r="B138" i="4"/>
  <c r="B139" i="4"/>
  <c r="D133" i="4"/>
  <c r="D134" i="4"/>
  <c r="D135" i="4"/>
  <c r="D136" i="4"/>
  <c r="B133" i="4"/>
  <c r="B134" i="4"/>
  <c r="B135" i="4"/>
  <c r="D127" i="4"/>
  <c r="D128" i="4"/>
  <c r="D129" i="4"/>
  <c r="D130" i="4"/>
  <c r="B130" i="4"/>
  <c r="B127" i="4"/>
  <c r="B128" i="4"/>
  <c r="B129" i="4"/>
  <c r="D124" i="4"/>
  <c r="B124" i="4"/>
  <c r="D123" i="4"/>
  <c r="D125" i="4"/>
  <c r="B123" i="4"/>
  <c r="B125" i="4"/>
  <c r="D117" i="4"/>
  <c r="D118" i="4"/>
  <c r="D119" i="4"/>
  <c r="B117" i="4"/>
  <c r="B118" i="4"/>
  <c r="B119" i="4"/>
  <c r="D207" i="4"/>
  <c r="D208" i="4"/>
  <c r="D209" i="4"/>
  <c r="D210" i="4"/>
  <c r="D211" i="4"/>
  <c r="D212" i="4"/>
  <c r="D213" i="4"/>
  <c r="D214" i="4"/>
  <c r="D215" i="4"/>
  <c r="B207" i="4"/>
  <c r="B208" i="4"/>
  <c r="B209" i="4"/>
  <c r="B210" i="4"/>
  <c r="B211" i="4"/>
  <c r="B212" i="4"/>
  <c r="B213" i="4"/>
  <c r="B214" i="4"/>
  <c r="B215" i="4"/>
  <c r="AV198" i="1"/>
  <c r="AV44" i="1"/>
  <c r="D180" i="4"/>
  <c r="B180" i="4"/>
  <c r="D183" i="4"/>
  <c r="D184" i="4"/>
  <c r="D185" i="4"/>
  <c r="D186" i="4"/>
  <c r="D187" i="4"/>
  <c r="D188" i="4"/>
  <c r="D189" i="4"/>
  <c r="D190" i="4"/>
  <c r="D191" i="4"/>
  <c r="D192" i="4"/>
  <c r="D193" i="4"/>
  <c r="D194" i="4"/>
  <c r="D195" i="4"/>
  <c r="D196" i="4"/>
  <c r="D197" i="4"/>
  <c r="D198" i="4"/>
  <c r="D199" i="4"/>
  <c r="D218" i="4"/>
  <c r="D219" i="4"/>
  <c r="D220" i="4"/>
  <c r="D221" i="4"/>
  <c r="D222" i="4"/>
  <c r="D223" i="4"/>
  <c r="D224" i="4"/>
  <c r="D225" i="4"/>
  <c r="D226" i="4"/>
  <c r="D227" i="4"/>
  <c r="D228" i="4"/>
  <c r="D229" i="4"/>
  <c r="D230" i="4"/>
  <c r="D231" i="4"/>
  <c r="D232" i="4"/>
  <c r="D233" i="4"/>
  <c r="D206" i="4"/>
  <c r="D216" i="4"/>
  <c r="D217" i="4"/>
  <c r="D200" i="4"/>
  <c r="D201" i="4"/>
  <c r="D202" i="4"/>
  <c r="D203" i="4"/>
  <c r="D204" i="4"/>
  <c r="D205" i="4"/>
  <c r="D116" i="4"/>
  <c r="D120" i="4"/>
  <c r="D121" i="4"/>
  <c r="D122" i="4"/>
  <c r="D126" i="4"/>
  <c r="D131" i="4"/>
  <c r="D132" i="4"/>
  <c r="D137" i="4"/>
  <c r="D140" i="4"/>
  <c r="D141"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234" i="4"/>
  <c r="D235" i="4"/>
  <c r="D236" i="4"/>
  <c r="D237" i="4"/>
  <c r="D238" i="4"/>
  <c r="D239" i="4"/>
  <c r="D240" i="4"/>
  <c r="D241" i="4"/>
  <c r="D242" i="4"/>
  <c r="D243" i="4"/>
  <c r="D244" i="4"/>
  <c r="D245" i="4"/>
  <c r="D246" i="4"/>
  <c r="D247" i="4"/>
  <c r="D248" i="4"/>
  <c r="D249" i="4"/>
  <c r="D250" i="4"/>
  <c r="D251" i="4"/>
  <c r="D252" i="4"/>
  <c r="D253" i="4"/>
  <c r="D254" i="4"/>
  <c r="D255" i="4"/>
  <c r="D256" i="4"/>
  <c r="D257" i="4"/>
  <c r="D259" i="4"/>
  <c r="D260"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302" i="4"/>
  <c r="D303" i="4"/>
  <c r="D304" i="4"/>
  <c r="D305" i="4"/>
  <c r="D309" i="4"/>
  <c r="D310" i="4"/>
  <c r="D311" i="4"/>
  <c r="D312" i="4"/>
  <c r="D316" i="4"/>
  <c r="D317" i="4"/>
  <c r="D318" i="4"/>
  <c r="D319" i="4"/>
  <c r="D324" i="4"/>
  <c r="D325" i="4"/>
  <c r="D326"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B183" i="4"/>
  <c r="B184" i="4"/>
  <c r="B185" i="4"/>
  <c r="B186" i="4"/>
  <c r="B187" i="4"/>
  <c r="B188" i="4"/>
  <c r="B189" i="4"/>
  <c r="B190" i="4"/>
  <c r="B191" i="4"/>
  <c r="B192" i="4"/>
  <c r="B193" i="4"/>
  <c r="B194" i="4"/>
  <c r="B195" i="4"/>
  <c r="B196" i="4"/>
  <c r="B197" i="4"/>
  <c r="B198" i="4"/>
  <c r="B199" i="4"/>
  <c r="B218" i="4"/>
  <c r="B219" i="4"/>
  <c r="B220" i="4"/>
  <c r="B221" i="4"/>
  <c r="B222" i="4"/>
  <c r="B223" i="4"/>
  <c r="B224" i="4"/>
  <c r="B225" i="4"/>
  <c r="B226" i="4"/>
  <c r="B227" i="4"/>
  <c r="B228" i="4"/>
  <c r="B229" i="4"/>
  <c r="B230" i="4"/>
  <c r="B231" i="4"/>
  <c r="B232" i="4"/>
  <c r="B233" i="4"/>
  <c r="B206" i="4"/>
  <c r="B216" i="4"/>
  <c r="B217" i="4"/>
  <c r="B200" i="4"/>
  <c r="B201" i="4"/>
  <c r="B202" i="4"/>
  <c r="B203" i="4"/>
  <c r="B204" i="4"/>
  <c r="B205" i="4"/>
  <c r="B116" i="4"/>
  <c r="B120" i="4"/>
  <c r="B121" i="4"/>
  <c r="B122" i="4"/>
  <c r="B126" i="4"/>
  <c r="B131" i="4"/>
  <c r="B132" i="4"/>
  <c r="B136" i="4"/>
  <c r="B137" i="4"/>
  <c r="B140" i="4"/>
  <c r="B141"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94" i="4"/>
  <c r="B296" i="4"/>
  <c r="B297" i="4"/>
  <c r="B298" i="4"/>
  <c r="B302" i="4"/>
  <c r="B303" i="4"/>
  <c r="B304" i="4"/>
  <c r="B305" i="4"/>
  <c r="B309" i="4"/>
  <c r="B310" i="4"/>
  <c r="B311" i="4"/>
  <c r="B312" i="4"/>
  <c r="B316" i="4"/>
  <c r="B317" i="4"/>
  <c r="B318" i="4"/>
  <c r="B319" i="4"/>
  <c r="B324" i="4"/>
  <c r="B325" i="4"/>
  <c r="B326" i="4"/>
  <c r="B331" i="4"/>
  <c r="B332" i="4"/>
  <c r="B333"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D108" i="4"/>
  <c r="B108" i="4"/>
  <c r="D105" i="4"/>
  <c r="B105" i="4"/>
  <c r="D102" i="4"/>
  <c r="B102" i="4"/>
  <c r="D99" i="4"/>
  <c r="B99" i="4"/>
  <c r="D96" i="4"/>
  <c r="B96" i="4"/>
  <c r="D93" i="4"/>
  <c r="B93" i="4"/>
  <c r="D90" i="4"/>
  <c r="B90" i="4"/>
  <c r="D87" i="4"/>
  <c r="B87" i="4"/>
  <c r="D84" i="4"/>
  <c r="B84" i="4"/>
  <c r="D74" i="5"/>
  <c r="B74" i="5"/>
  <c r="D64" i="5"/>
  <c r="B64" i="5"/>
  <c r="D54" i="5"/>
  <c r="B54" i="5"/>
  <c r="D111" i="5"/>
  <c r="B111" i="5"/>
  <c r="D110" i="5"/>
  <c r="B110" i="5"/>
  <c r="D109" i="5"/>
  <c r="B109" i="5"/>
  <c r="D108" i="5"/>
  <c r="B108" i="5"/>
  <c r="D107" i="5"/>
  <c r="B107" i="5"/>
  <c r="D106" i="5"/>
  <c r="B106" i="5"/>
  <c r="D105" i="5"/>
  <c r="B105" i="5"/>
  <c r="D104" i="5"/>
  <c r="B104" i="5"/>
  <c r="D103" i="5"/>
  <c r="B103" i="5"/>
  <c r="D102" i="5"/>
  <c r="B102" i="5"/>
  <c r="D101" i="5"/>
  <c r="B101" i="5"/>
  <c r="D100" i="5"/>
  <c r="B100" i="5"/>
  <c r="D99" i="5"/>
  <c r="B99" i="5"/>
  <c r="D98" i="5"/>
  <c r="B98" i="5"/>
  <c r="D97" i="5"/>
  <c r="B97" i="5"/>
  <c r="D96" i="5"/>
  <c r="B96" i="5"/>
  <c r="D95" i="5"/>
  <c r="B95" i="5"/>
  <c r="D94" i="5"/>
  <c r="B94" i="5"/>
  <c r="D93" i="5"/>
  <c r="B93" i="5"/>
  <c r="D92" i="5"/>
  <c r="B92" i="5"/>
  <c r="D91" i="5"/>
  <c r="B91" i="5"/>
  <c r="D90" i="5"/>
  <c r="B90" i="5"/>
  <c r="D89" i="5"/>
  <c r="B89" i="5"/>
  <c r="D88" i="5"/>
  <c r="B88" i="5"/>
  <c r="D87" i="5"/>
  <c r="B87" i="5"/>
  <c r="D86" i="5"/>
  <c r="B86" i="5"/>
  <c r="D85" i="5"/>
  <c r="B85" i="5"/>
  <c r="D84" i="5"/>
  <c r="B84" i="5"/>
  <c r="D83" i="5"/>
  <c r="B83" i="5"/>
  <c r="D82" i="5"/>
  <c r="B82" i="5"/>
  <c r="D81" i="5"/>
  <c r="B81" i="5"/>
  <c r="D80" i="5"/>
  <c r="B80" i="5"/>
  <c r="D79" i="5"/>
  <c r="B79" i="5"/>
  <c r="D78" i="5"/>
  <c r="B78" i="5"/>
  <c r="D77" i="5"/>
  <c r="B77" i="5"/>
  <c r="D76" i="5"/>
  <c r="B76" i="5"/>
  <c r="D75" i="5"/>
  <c r="B75" i="5"/>
  <c r="D73" i="5"/>
  <c r="B73" i="5"/>
  <c r="D72" i="5"/>
  <c r="B72" i="5"/>
  <c r="D71" i="5"/>
  <c r="B71" i="5"/>
  <c r="D70" i="5"/>
  <c r="B70" i="5"/>
  <c r="D69" i="5"/>
  <c r="B69" i="5"/>
  <c r="D68" i="5"/>
  <c r="B68" i="5"/>
  <c r="D67" i="5"/>
  <c r="B67" i="5"/>
  <c r="D66" i="5"/>
  <c r="B66" i="5"/>
  <c r="D65" i="5"/>
  <c r="B65" i="5"/>
  <c r="D63" i="5"/>
  <c r="B63" i="5"/>
  <c r="D62" i="5"/>
  <c r="B62" i="5"/>
  <c r="D61" i="5"/>
  <c r="B61" i="5"/>
  <c r="D60" i="5"/>
  <c r="B60" i="5"/>
  <c r="D59" i="5"/>
  <c r="B59" i="5"/>
  <c r="D58" i="5"/>
  <c r="B58" i="5"/>
  <c r="D57" i="5"/>
  <c r="B57" i="5"/>
  <c r="D56" i="5"/>
  <c r="B56" i="5"/>
  <c r="D55" i="5"/>
  <c r="B55" i="5"/>
  <c r="D53" i="5"/>
  <c r="B53" i="5"/>
  <c r="D52" i="5"/>
  <c r="B52" i="5"/>
  <c r="D51" i="5"/>
  <c r="B51" i="5"/>
  <c r="D50" i="5"/>
  <c r="B50" i="5"/>
  <c r="D49" i="5"/>
  <c r="B49" i="5"/>
  <c r="D48" i="5"/>
  <c r="B48" i="5"/>
  <c r="D47" i="5"/>
  <c r="B47" i="5"/>
  <c r="D46" i="5"/>
  <c r="B46" i="5"/>
  <c r="D45" i="5"/>
  <c r="B45" i="5"/>
  <c r="D44" i="5"/>
  <c r="B44" i="5"/>
  <c r="D43" i="5"/>
  <c r="B43" i="5"/>
  <c r="D42" i="5"/>
  <c r="B42" i="5"/>
  <c r="D41" i="5"/>
  <c r="B41" i="5"/>
  <c r="D40" i="5"/>
  <c r="B40" i="5"/>
  <c r="D39" i="5"/>
  <c r="B39" i="5"/>
  <c r="D38" i="5"/>
  <c r="B38" i="5"/>
  <c r="D37" i="5"/>
  <c r="B37" i="5"/>
  <c r="D36" i="5"/>
  <c r="B36" i="5"/>
  <c r="D35" i="5"/>
  <c r="B35" i="5"/>
  <c r="D34" i="5"/>
  <c r="B34" i="5"/>
  <c r="D33" i="5"/>
  <c r="B33" i="5"/>
  <c r="D32" i="5"/>
  <c r="B32" i="5"/>
  <c r="D31" i="5"/>
  <c r="B31" i="5"/>
  <c r="D30" i="5"/>
  <c r="B30" i="5"/>
  <c r="D29" i="5"/>
  <c r="B29" i="5"/>
  <c r="D28" i="5"/>
  <c r="B28" i="5"/>
  <c r="D27" i="5"/>
  <c r="B27" i="5"/>
  <c r="D26" i="5"/>
  <c r="B26" i="5"/>
  <c r="D25" i="5"/>
  <c r="B25" i="5"/>
  <c r="D24" i="5"/>
  <c r="B24" i="5"/>
  <c r="D23" i="5"/>
  <c r="B23" i="5"/>
  <c r="D22" i="5"/>
  <c r="B22" i="5"/>
  <c r="D21" i="5"/>
  <c r="B21" i="5"/>
  <c r="D20" i="5"/>
  <c r="B20" i="5"/>
  <c r="D19" i="5"/>
  <c r="B19" i="5"/>
  <c r="D18" i="5"/>
  <c r="B18" i="5"/>
  <c r="D17" i="5"/>
  <c r="B17" i="5"/>
  <c r="D16" i="5"/>
  <c r="B16" i="5"/>
  <c r="D15" i="5"/>
  <c r="B15" i="5"/>
  <c r="D14" i="5"/>
  <c r="B14" i="5"/>
  <c r="D13" i="5"/>
  <c r="B13" i="5"/>
  <c r="D12" i="5"/>
  <c r="B12" i="5"/>
  <c r="D11" i="5"/>
  <c r="B11" i="5"/>
  <c r="D10" i="5"/>
  <c r="B10" i="5"/>
  <c r="D9" i="5"/>
  <c r="B9" i="5"/>
  <c r="D8" i="5"/>
  <c r="B8" i="5"/>
  <c r="D7" i="5"/>
  <c r="B7" i="5"/>
  <c r="D6" i="5"/>
  <c r="B6" i="5"/>
  <c r="D5" i="5"/>
  <c r="B5" i="5"/>
  <c r="D4" i="5"/>
  <c r="B4" i="5"/>
  <c r="D3" i="5"/>
  <c r="B3" i="5"/>
  <c r="D2" i="5"/>
  <c r="B2" i="5"/>
  <c r="B19" i="4"/>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4" i="1"/>
  <c r="AV85" i="1"/>
  <c r="AV86" i="1"/>
  <c r="AV87" i="1"/>
  <c r="AV88" i="1"/>
  <c r="AV89" i="1"/>
  <c r="AV90" i="1"/>
  <c r="AV92" i="1"/>
  <c r="AV94" i="1"/>
  <c r="AV95" i="1"/>
  <c r="AV96" i="1"/>
  <c r="AV97" i="1"/>
  <c r="AV98" i="1"/>
  <c r="AV99" i="1"/>
  <c r="AV100" i="1"/>
  <c r="AV101" i="1"/>
  <c r="AV102" i="1"/>
  <c r="AV103" i="1"/>
  <c r="AV106" i="1"/>
  <c r="AV107" i="1"/>
  <c r="AV108" i="1"/>
  <c r="AV109" i="1"/>
  <c r="AV110" i="1"/>
  <c r="AV111" i="1"/>
  <c r="AV112" i="1"/>
  <c r="AV113" i="1"/>
  <c r="AV114" i="1"/>
  <c r="AV115" i="1"/>
  <c r="AV116" i="1"/>
  <c r="AV117" i="1"/>
  <c r="AV118" i="1"/>
  <c r="AV119" i="1"/>
  <c r="AV120" i="1"/>
  <c r="AV121" i="1"/>
  <c r="AV122"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4" i="1"/>
  <c r="AV225" i="1"/>
  <c r="AV226" i="1"/>
  <c r="AV227" i="1"/>
  <c r="AV228" i="1"/>
  <c r="AV229" i="1"/>
  <c r="AV230" i="1"/>
  <c r="AV233" i="1"/>
  <c r="AV234" i="1"/>
  <c r="AV235" i="1"/>
  <c r="AV236" i="1"/>
  <c r="AV237" i="1"/>
  <c r="AV238" i="1"/>
  <c r="AV232" i="1"/>
  <c r="AV239" i="1"/>
  <c r="AV240" i="1"/>
  <c r="AV241" i="1"/>
  <c r="AV242" i="1"/>
  <c r="AV243" i="1"/>
  <c r="AV244" i="1"/>
  <c r="AV245" i="1"/>
  <c r="AV246" i="1"/>
  <c r="AV247" i="1"/>
  <c r="AV248" i="1"/>
  <c r="AV249" i="1"/>
  <c r="AV250" i="1"/>
  <c r="AV253" i="1"/>
  <c r="AV254" i="1"/>
  <c r="AV255" i="1"/>
  <c r="AV256" i="1"/>
  <c r="AV257" i="1"/>
  <c r="AV261" i="1"/>
  <c r="AV264" i="1"/>
  <c r="AV265" i="1"/>
  <c r="AV266" i="1"/>
  <c r="AV267" i="1"/>
  <c r="AV268" i="1"/>
  <c r="AV269" i="1"/>
  <c r="AV270" i="1"/>
  <c r="AV271" i="1"/>
  <c r="AV272" i="1"/>
  <c r="AV273" i="1"/>
  <c r="AV274" i="1"/>
  <c r="AV275" i="1"/>
  <c r="AV276" i="1"/>
  <c r="AV277" i="1"/>
  <c r="AV278" i="1"/>
  <c r="AV279" i="1"/>
  <c r="AV280" i="1"/>
  <c r="AV281" i="1"/>
  <c r="AV282" i="1"/>
  <c r="AV283" i="1"/>
  <c r="AV284" i="1"/>
  <c r="AV285" i="1"/>
  <c r="D2" i="4"/>
  <c r="D3" i="4"/>
  <c r="D4" i="4"/>
  <c r="D5" i="4"/>
  <c r="D6" i="4"/>
  <c r="D7" i="4"/>
  <c r="D8" i="4"/>
  <c r="D9" i="4"/>
  <c r="D10" i="4"/>
  <c r="B2" i="4"/>
  <c r="B3" i="4"/>
  <c r="B4" i="4"/>
  <c r="B5" i="4"/>
  <c r="B6" i="4"/>
  <c r="B7" i="4"/>
  <c r="B8" i="4"/>
  <c r="B9" i="4"/>
  <c r="B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5" i="4"/>
  <c r="D86" i="4"/>
  <c r="D88" i="4"/>
  <c r="D89" i="4"/>
  <c r="D91" i="4"/>
  <c r="D92" i="4"/>
  <c r="D94" i="4"/>
  <c r="D95" i="4"/>
  <c r="D97" i="4"/>
  <c r="D98" i="4"/>
  <c r="D100" i="4"/>
  <c r="D101" i="4"/>
  <c r="D103" i="4"/>
  <c r="D104" i="4"/>
  <c r="D106" i="4"/>
  <c r="D107" i="4"/>
  <c r="D109" i="4"/>
  <c r="D110" i="4"/>
  <c r="D111" i="4"/>
  <c r="D176" i="4"/>
  <c r="D177" i="4"/>
  <c r="D178" i="4"/>
  <c r="D179" i="4"/>
  <c r="D181" i="4"/>
  <c r="D182"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5" i="4"/>
  <c r="B86" i="4"/>
  <c r="B88" i="4"/>
  <c r="B89" i="4"/>
  <c r="B91" i="4"/>
  <c r="B92" i="4"/>
  <c r="B94" i="4"/>
  <c r="B95" i="4"/>
  <c r="B97" i="4"/>
  <c r="B98" i="4"/>
  <c r="B100" i="4"/>
  <c r="B101" i="4"/>
  <c r="B103" i="4"/>
  <c r="B104" i="4"/>
  <c r="B106" i="4"/>
  <c r="B107" i="4"/>
  <c r="B109" i="4"/>
  <c r="B110" i="4"/>
  <c r="B111" i="4"/>
  <c r="B176" i="4"/>
  <c r="B177" i="4"/>
  <c r="B178" i="4"/>
  <c r="B179" i="4"/>
  <c r="B181" i="4"/>
  <c r="B182" i="4"/>
  <c r="B11" i="4"/>
  <c r="B12" i="4"/>
  <c r="B13" i="4"/>
  <c r="B14" i="4"/>
  <c r="B15" i="4"/>
  <c r="B16" i="4"/>
  <c r="B17" i="4"/>
  <c r="B18" i="4"/>
</calcChain>
</file>

<file path=xl/sharedStrings.xml><?xml version="1.0" encoding="utf-8"?>
<sst xmlns="http://schemas.openxmlformats.org/spreadsheetml/2006/main" count="7377" uniqueCount="2233">
  <si>
    <t>Alvásterápiás készülékek</t>
  </si>
  <si>
    <t>1.1.</t>
  </si>
  <si>
    <t>LMT 31785-1110</t>
  </si>
  <si>
    <t>prisma SMART auto cpap (fekete)</t>
  </si>
  <si>
    <t>Löwenstein</t>
  </si>
  <si>
    <t>profi</t>
  </si>
  <si>
    <t>van</t>
  </si>
  <si>
    <t>magyarul - önálló file</t>
  </si>
  <si>
    <t>LMT 31920-1110</t>
  </si>
  <si>
    <t>prisma SMART plus auto cpap (fehér)</t>
  </si>
  <si>
    <t>WM 29600-1</t>
  </si>
  <si>
    <t>Prisma A20 auto cpap</t>
  </si>
  <si>
    <t>NEM ELÉRHETŐ</t>
  </si>
  <si>
    <t>angol</t>
  </si>
  <si>
    <t>EUX500S15</t>
  </si>
  <si>
    <t>DreamStation auto cpap</t>
  </si>
  <si>
    <t>Philips</t>
  </si>
  <si>
    <t>nincs</t>
  </si>
  <si>
    <t>-</t>
  </si>
  <si>
    <t>112000205</t>
  </si>
  <si>
    <t>AeonMed AS100A auto cpap</t>
  </si>
  <si>
    <t>?nincs?</t>
  </si>
  <si>
    <t>1.2</t>
  </si>
  <si>
    <t>WM 29900-1</t>
  </si>
  <si>
    <t>prisma 25S auto BiPAP</t>
  </si>
  <si>
    <t>magyarul - önálló file A20-al együtt Weinmann</t>
  </si>
  <si>
    <t>WM 29930-2</t>
  </si>
  <si>
    <t>prisma30ST</t>
  </si>
  <si>
    <t>WM 29960-2110</t>
  </si>
  <si>
    <t>prismaCR</t>
  </si>
  <si>
    <t>NINCS</t>
  </si>
  <si>
    <t>?</t>
  </si>
  <si>
    <t>Dreamstation Bipap?</t>
  </si>
  <si>
    <t>1.3</t>
  </si>
  <si>
    <t>WM 27420/s</t>
  </si>
  <si>
    <t>SomnoBalance (e) auto cpap fehér</t>
  </si>
  <si>
    <t>IN561</t>
  </si>
  <si>
    <t>Remstar Auto A-Flex</t>
  </si>
  <si>
    <t>van (Csilla mappa)</t>
  </si>
  <si>
    <t>IN461S</t>
  </si>
  <si>
    <t>Remstar pro C-Flex</t>
  </si>
  <si>
    <t>van Cintia használati</t>
  </si>
  <si>
    <t>IN751S</t>
  </si>
  <si>
    <t>BiPAP Auto IN751S</t>
  </si>
  <si>
    <t>IN701S</t>
  </si>
  <si>
    <t>BiPAP Auto M IN701S</t>
  </si>
  <si>
    <t>IN171</t>
  </si>
  <si>
    <t>Remstar CPAP Flex IN171</t>
  </si>
  <si>
    <t>IN251S</t>
  </si>
  <si>
    <t>Remstar CPAP Flex IN251S</t>
  </si>
  <si>
    <t>IN101</t>
  </si>
  <si>
    <t>Remstar M CPAP IN101</t>
  </si>
  <si>
    <t>IN761S</t>
  </si>
  <si>
    <t>BiPAP Auto BiFlex System one</t>
  </si>
  <si>
    <t>IN961S</t>
  </si>
  <si>
    <t>BiPAP AutoSV</t>
  </si>
  <si>
    <t>van szkennelt (fordítások2)</t>
  </si>
  <si>
    <t>IN1161X</t>
  </si>
  <si>
    <t>BiPAP Avaps</t>
  </si>
  <si>
    <t>Párásítók</t>
  </si>
  <si>
    <t>WM 29490</t>
  </si>
  <si>
    <t>Prisma Aqua párásító fehér</t>
  </si>
  <si>
    <t>hun, en, stb összevontan</t>
  </si>
  <si>
    <t>WM 29680</t>
  </si>
  <si>
    <t>Prisma Aqua párásító fekete</t>
  </si>
  <si>
    <t>gép</t>
  </si>
  <si>
    <t>WM 24403</t>
  </si>
  <si>
    <t>SomnoAqua fűtött párásító</t>
  </si>
  <si>
    <t>van SomnoBalance-éban</t>
  </si>
  <si>
    <t>EUXH</t>
  </si>
  <si>
    <t xml:space="preserve">DreamStation fűthető párásító EUXH </t>
  </si>
  <si>
    <t>122014265</t>
  </si>
  <si>
    <t>Párásító AS100A készülékhez</t>
  </si>
  <si>
    <t>Maszkok</t>
  </si>
  <si>
    <t>3.1</t>
  </si>
  <si>
    <t>WM 25590</t>
  </si>
  <si>
    <t>Cara (XS)</t>
  </si>
  <si>
    <t>WM 25600</t>
  </si>
  <si>
    <t>Cara (S/M)</t>
  </si>
  <si>
    <t>WM 25610</t>
  </si>
  <si>
    <t>Cara (M/L)</t>
  </si>
  <si>
    <t>WM 25680</t>
  </si>
  <si>
    <t>Cara (XL)</t>
  </si>
  <si>
    <t>WM 25510</t>
  </si>
  <si>
    <t>Joyce Easy (S)</t>
  </si>
  <si>
    <t>WM 25520</t>
  </si>
  <si>
    <t>Joyce Easy (M)</t>
  </si>
  <si>
    <t>WM 25530</t>
  </si>
  <si>
    <t>Joyce Easy (L)</t>
  </si>
  <si>
    <t>WM 25260</t>
  </si>
  <si>
    <t>Joyce One (1 méretes)</t>
  </si>
  <si>
    <t>DreamWear (4 méret 1 csomagban)</t>
  </si>
  <si>
    <t>1137943CE</t>
  </si>
  <si>
    <t>DreamWisp (S)</t>
  </si>
  <si>
    <t xml:space="preserve">csak angol és egyéb nyelvek! </t>
  </si>
  <si>
    <t>1137944CE</t>
  </si>
  <si>
    <t>DreamWisp (M)</t>
  </si>
  <si>
    <t>1137945CE</t>
  </si>
  <si>
    <t>DreamWisp (L)</t>
  </si>
  <si>
    <t>1137946CE</t>
  </si>
  <si>
    <t>DreamWisp (XL)</t>
  </si>
  <si>
    <t>Nuance Pro Gel (egyben)</t>
  </si>
  <si>
    <t>Pico (S/M)</t>
  </si>
  <si>
    <t>hun, en, stb. összevontan (nincs fent a cpap.hu-n)</t>
  </si>
  <si>
    <t>Pico (L)</t>
  </si>
  <si>
    <t xml:space="preserve"> </t>
  </si>
  <si>
    <t>Pico (XL)</t>
  </si>
  <si>
    <t>Wisp (3 méret 1 csomagban) átlátszó váz</t>
  </si>
  <si>
    <t>Wisp (3 méret 1 csomagban) textil váz</t>
  </si>
  <si>
    <t>WISP PED FIT PACK W/ HEADGEAR ‐ EE INT</t>
  </si>
  <si>
    <t>Wisp Youth Mask, Fabric, w/ HGR, Intl</t>
  </si>
  <si>
    <t>LMT 26710</t>
  </si>
  <si>
    <t>Julia (S)</t>
  </si>
  <si>
    <t>csak angol és egyéb nyelvek! Nincs lefordítva még</t>
  </si>
  <si>
    <t>LMT 26720</t>
  </si>
  <si>
    <t>Julia (M)</t>
  </si>
  <si>
    <t>LMT 26730</t>
  </si>
  <si>
    <t>Julia (L)</t>
  </si>
  <si>
    <t>3.2</t>
  </si>
  <si>
    <t>WM 25630</t>
  </si>
  <si>
    <t>Cara Full (S)</t>
  </si>
  <si>
    <t>egyedi eng.</t>
  </si>
  <si>
    <t>csak angol és egyéb nyelvek! A gyártó oldalán sem találtam magyart sajnos…</t>
  </si>
  <si>
    <t>de</t>
  </si>
  <si>
    <t>WM 25640</t>
  </si>
  <si>
    <t>Cara Full (M)</t>
  </si>
  <si>
    <t>WM 25650</t>
  </si>
  <si>
    <t>Cara Full (L)</t>
  </si>
  <si>
    <t>Cara Full (XL)</t>
  </si>
  <si>
    <t>csak angol és egyéb nyelvek! A gyártó oldalán sem találtam magyart sajnos… de ez kifutó termék</t>
  </si>
  <si>
    <t>WM 25910</t>
  </si>
  <si>
    <t>JoyceEasy Full (S)</t>
  </si>
  <si>
    <t>WM 25920</t>
  </si>
  <si>
    <t>JoyceEasy Full (M)</t>
  </si>
  <si>
    <t>WM 25930</t>
  </si>
  <si>
    <t>JoyceEasy Full (L)</t>
  </si>
  <si>
    <t>WM 25109</t>
  </si>
  <si>
    <t>JoyceEasy Next Full (S)</t>
  </si>
  <si>
    <t>WM 25119</t>
  </si>
  <si>
    <t>JoyceEasy Next Full (M)</t>
  </si>
  <si>
    <t>WM 25129</t>
  </si>
  <si>
    <t>JoyceEasy Next Full (L)</t>
  </si>
  <si>
    <t>WM 25290</t>
  </si>
  <si>
    <t>Joyce ONE Full</t>
  </si>
  <si>
    <t>LMT 26460</t>
  </si>
  <si>
    <t>Lena Full (S)</t>
  </si>
  <si>
    <t>en, de</t>
  </si>
  <si>
    <t>LMT 26470</t>
  </si>
  <si>
    <t>Lena Full (M)</t>
  </si>
  <si>
    <t>LMT 26480</t>
  </si>
  <si>
    <t>Lena Full (L)</t>
  </si>
  <si>
    <t>Amara (S)</t>
  </si>
  <si>
    <t>Amara (M)</t>
  </si>
  <si>
    <t>Amara (L)</t>
  </si>
  <si>
    <t>Amara Gel (S)</t>
  </si>
  <si>
    <t>Amara Gel (M)</t>
  </si>
  <si>
    <t>Amara Gel (L)</t>
  </si>
  <si>
    <t>Amara View (S)</t>
  </si>
  <si>
    <t>Amara View (M)</t>
  </si>
  <si>
    <t>Amara View (L)</t>
  </si>
  <si>
    <t>DreamWear Full (S)</t>
  </si>
  <si>
    <t>DreamWear Full (M)</t>
  </si>
  <si>
    <t>DreamWear Full (L)</t>
  </si>
  <si>
    <t>Tartozékok</t>
  </si>
  <si>
    <t>4.1</t>
  </si>
  <si>
    <t>WM 29928</t>
  </si>
  <si>
    <t>Szivacsszűrő Prisma készülékhez 1csomag/2db</t>
  </si>
  <si>
    <t>WM 15321</t>
  </si>
  <si>
    <t>Szivacsszűrő SomnoBalance készülékhez 1csomag/2db</t>
  </si>
  <si>
    <t>Szivacsszűrő Remstar Philips készülékhez 1csomag/2db</t>
  </si>
  <si>
    <t>Szivacsszűrő AS100A készülékhez</t>
  </si>
  <si>
    <t>WM 29652</t>
  </si>
  <si>
    <t>Pollenszűrő Prisma készülékhez 12db</t>
  </si>
  <si>
    <t>WM 29652-6</t>
  </si>
  <si>
    <t>Pollenszűrő Prisma készülékhez 6db</t>
  </si>
  <si>
    <t>WM 25668</t>
  </si>
  <si>
    <t>Pollenszűrő SomnoBalance 12db</t>
  </si>
  <si>
    <t>WM 15668-6</t>
  </si>
  <si>
    <t>Pollenszűrő SomnoBalance 6db</t>
  </si>
  <si>
    <t>Pollenszűrő Remstar Philips készülékhez 1cs/6db</t>
  </si>
  <si>
    <t>122014264-0</t>
  </si>
  <si>
    <t>Pollenszűrő AS100A készülékhez 12db</t>
  </si>
  <si>
    <t>Baktériumszűrő</t>
  </si>
  <si>
    <t>240000463</t>
  </si>
  <si>
    <t>Baktériumszűrő AS100A készülékhez</t>
  </si>
  <si>
    <t>4.2</t>
  </si>
  <si>
    <t>WM 25189</t>
  </si>
  <si>
    <t>WM 25238</t>
  </si>
  <si>
    <t>WM 25239</t>
  </si>
  <si>
    <t>WM 25576</t>
  </si>
  <si>
    <t>WM 26803</t>
  </si>
  <si>
    <t>JoyceEasy maszkpárna S</t>
  </si>
  <si>
    <t>WM 26813</t>
  </si>
  <si>
    <t>JoyceEasy maszkpárna M</t>
  </si>
  <si>
    <t>WM 26823</t>
  </si>
  <si>
    <t>JoyceEasy maszkpárna L</t>
  </si>
  <si>
    <t>WM 26152</t>
  </si>
  <si>
    <t>Joyce SilkGel maszkpárna S</t>
  </si>
  <si>
    <t>WM 26270</t>
  </si>
  <si>
    <t>Joyce SilkGel zselé</t>
  </si>
  <si>
    <t>WM 26801</t>
  </si>
  <si>
    <t>WM 25253</t>
  </si>
  <si>
    <t>WISP PED SCS CUSHION RP</t>
  </si>
  <si>
    <t>WISP PED SCM CUSHION RP</t>
  </si>
  <si>
    <t>WISP PED SCL CUSHION RP</t>
  </si>
  <si>
    <t>WISP PED HEADGEAR RP</t>
  </si>
  <si>
    <t>DreamWisp cushion S</t>
  </si>
  <si>
    <t>DreamWisp cushion M</t>
  </si>
  <si>
    <t>DreamWisp cushion L</t>
  </si>
  <si>
    <t>DreamWisp cushion XL</t>
  </si>
  <si>
    <t>WM 25601</t>
  </si>
  <si>
    <t>CARA Full maszkpárna S</t>
  </si>
  <si>
    <t>WM 25602</t>
  </si>
  <si>
    <t>CARA Full maszkpárna M</t>
  </si>
  <si>
    <t>WM 25603</t>
  </si>
  <si>
    <t>CARA Full maszkpárna L</t>
  </si>
  <si>
    <t>WM 25676</t>
  </si>
  <si>
    <t>Cara Full maszkpárna XL</t>
  </si>
  <si>
    <t>LMT 26602</t>
  </si>
  <si>
    <t>LENA maszkpárna S</t>
  </si>
  <si>
    <t>LMT 26603</t>
  </si>
  <si>
    <t>LENA maszkpárna M</t>
  </si>
  <si>
    <t>LMT 26604</t>
  </si>
  <si>
    <t>LENA maszkpárna L</t>
  </si>
  <si>
    <t>WM 26871</t>
  </si>
  <si>
    <t>JOYCEasy Full maszkpárna S</t>
  </si>
  <si>
    <t>WM 26872</t>
  </si>
  <si>
    <t>JOYCEasy Full maszkpárna M</t>
  </si>
  <si>
    <t>WM 26873</t>
  </si>
  <si>
    <t>JOYCEasy Full maszkpárna L</t>
  </si>
  <si>
    <t>WM 25104</t>
  </si>
  <si>
    <t>JoyceEasy Next Full (S) maszkpárna</t>
  </si>
  <si>
    <t>WM 25114</t>
  </si>
  <si>
    <t>JoyceEasy Next Full (M) maszkpárna</t>
  </si>
  <si>
    <t>WM 25124</t>
  </si>
  <si>
    <t>JoyceEasy Next Full (L) maszkpárna</t>
  </si>
  <si>
    <t>Amara maszkpárna S</t>
  </si>
  <si>
    <t>Amara maszkpárna M</t>
  </si>
  <si>
    <t>Amara maszkpárna L</t>
  </si>
  <si>
    <t xml:space="preserve">Amara Gel maszkpárna P </t>
  </si>
  <si>
    <t xml:space="preserve">Amara Gel maszkpárna S </t>
  </si>
  <si>
    <t xml:space="preserve">Amara Gel maszkpárna M </t>
  </si>
  <si>
    <t>Amara Gel maszkpárna L</t>
  </si>
  <si>
    <t>Amara View maszkpárna S</t>
  </si>
  <si>
    <t>Amara View maszkpárna M</t>
  </si>
  <si>
    <t>Amara View maszkpárna L</t>
  </si>
  <si>
    <t>Dreamwear Full S cushion</t>
  </si>
  <si>
    <t>Dreamwear Full M cushion</t>
  </si>
  <si>
    <t>Dreamwear Full L cushion</t>
  </si>
  <si>
    <t>Dreamwear Full MW cushion</t>
  </si>
  <si>
    <t>4.3</t>
  </si>
  <si>
    <t>WM 25191</t>
  </si>
  <si>
    <t>Cara fejpánt xs</t>
  </si>
  <si>
    <t>WM 25192</t>
  </si>
  <si>
    <t>Cara fejpánt</t>
  </si>
  <si>
    <t>WM 25505</t>
  </si>
  <si>
    <t>JoyceEasy fejpánt</t>
  </si>
  <si>
    <t>WM 25255</t>
  </si>
  <si>
    <t>JoyceOne fejpánt</t>
  </si>
  <si>
    <t>WM 25338</t>
  </si>
  <si>
    <t>Állpánt prémium</t>
  </si>
  <si>
    <t>Amara fejpánt RS</t>
  </si>
  <si>
    <t>Amara View fejpánt L</t>
  </si>
  <si>
    <t>Amara View fejpánt</t>
  </si>
  <si>
    <t>Amara View fejpánt csat 2 db</t>
  </si>
  <si>
    <t>DreamWear fejpánt új</t>
  </si>
  <si>
    <t>DreamWear szilikon váz L</t>
  </si>
  <si>
    <t>DreamWear szilikon váz S/M</t>
  </si>
  <si>
    <t>? 1116746</t>
  </si>
  <si>
    <t>Dreamwear maszk váz M</t>
  </si>
  <si>
    <t>DreamWear vázborítás</t>
  </si>
  <si>
    <t>Dreamwear kilégző adapter</t>
  </si>
  <si>
    <t>Nuance fejpánt</t>
  </si>
  <si>
    <t>Nuance Pro fejpánt</t>
  </si>
  <si>
    <t>Nuance pro frame</t>
  </si>
  <si>
    <t>Pico fejpánt</t>
  </si>
  <si>
    <t>Prémium fejpánt</t>
  </si>
  <si>
    <t>Wisp fejpánt</t>
  </si>
  <si>
    <t>Wisp váz szilikon</t>
  </si>
  <si>
    <t>Wisp váz textil</t>
  </si>
  <si>
    <t>Nuance fabric frame</t>
  </si>
  <si>
    <t>Dreamwear Full fejpánt</t>
  </si>
  <si>
    <t>Dreamwear Full fejpánthoz mágn. Csat</t>
  </si>
  <si>
    <t>LMT 26435</t>
  </si>
  <si>
    <t>LENA fejpánt</t>
  </si>
  <si>
    <t>4.4</t>
  </si>
  <si>
    <t>G100</t>
  </si>
  <si>
    <t>Gégecső huzat</t>
  </si>
  <si>
    <t>WM 24445</t>
  </si>
  <si>
    <t>Gégecső SomnoBalance és Prisma készülékhez</t>
  </si>
  <si>
    <t>PR15</t>
  </si>
  <si>
    <t>DreamStation gégecső</t>
  </si>
  <si>
    <t>gégecső tartós fehér</t>
  </si>
  <si>
    <t>? 622038</t>
  </si>
  <si>
    <t>Tartós cső szürke</t>
  </si>
  <si>
    <t>HT15</t>
  </si>
  <si>
    <t>DreamStation fűthető gégecső</t>
  </si>
  <si>
    <t>WM 24414</t>
  </si>
  <si>
    <t>SOMNOaqua párásító dugó</t>
  </si>
  <si>
    <t>WM 1145</t>
  </si>
  <si>
    <t>SOMNoaqua párásító gumi</t>
  </si>
  <si>
    <t>System One párásító vízkamra</t>
  </si>
  <si>
    <t>WM 29682</t>
  </si>
  <si>
    <t>prismaAQUA vízkamra</t>
  </si>
  <si>
    <t>Remstar M fűtött pár. vízkamra</t>
  </si>
  <si>
    <t>WM 24469</t>
  </si>
  <si>
    <t>prisma DC adapter (12/24V)</t>
  </si>
  <si>
    <t>WM 29657</t>
  </si>
  <si>
    <t>prisma20A tápegység</t>
  </si>
  <si>
    <t>WM 24480</t>
  </si>
  <si>
    <t>SOMNObalance tápegység</t>
  </si>
  <si>
    <t>12V-os tápkábel BiPAP Pro 2 típusú készülékhez</t>
  </si>
  <si>
    <t>210004847</t>
  </si>
  <si>
    <t>Adapter AS100A készülékhez</t>
  </si>
  <si>
    <t>WM 31615</t>
  </si>
  <si>
    <t>Csatlakozó kábel (Prisma)</t>
  </si>
  <si>
    <t>Power Supply (80 Watt)</t>
  </si>
  <si>
    <t>rev001</t>
  </si>
  <si>
    <t>Reventil orrspray</t>
  </si>
  <si>
    <t>Wisp maszkcső és könyök</t>
  </si>
  <si>
    <t>WM 29794</t>
  </si>
  <si>
    <t>Somno SD-kártya</t>
  </si>
  <si>
    <t>1063859-01</t>
  </si>
  <si>
    <t>SD memória kártya 1 db</t>
  </si>
  <si>
    <t>házi</t>
  </si>
  <si>
    <t xml:space="preserve">312010-01 </t>
  </si>
  <si>
    <t>Oxigén T-adapter 1 db</t>
  </si>
  <si>
    <t xml:space="preserve">1064787   </t>
  </si>
  <si>
    <t>Ui Knob</t>
  </si>
  <si>
    <t xml:space="preserve">1099581   </t>
  </si>
  <si>
    <t>UI Knob</t>
  </si>
  <si>
    <t xml:space="preserve"> „Ebben a kategóriában nincsenek termékek.” </t>
  </si>
  <si>
    <t>van (word)</t>
  </si>
  <si>
    <t>bemutató film</t>
  </si>
  <si>
    <t>Otthoni lélegeztetés</t>
  </si>
  <si>
    <t>6.1</t>
  </si>
  <si>
    <t>6.2</t>
  </si>
  <si>
    <t>Fényterápiás eszköz</t>
  </si>
  <si>
    <t>LB-2000</t>
  </si>
  <si>
    <t xml:space="preserve">LiteBook Elite </t>
  </si>
  <si>
    <t>Kiadványok</t>
  </si>
  <si>
    <t>Terméknév</t>
  </si>
  <si>
    <t>Cikkszám</t>
  </si>
  <si>
    <t>Kategória ID</t>
  </si>
  <si>
    <t>Gyártó</t>
  </si>
  <si>
    <t>TB-támogatott ár</t>
  </si>
  <si>
    <t>webshop fotó státusz</t>
  </si>
  <si>
    <t>Rövid leírás</t>
  </si>
  <si>
    <t>Hosszú leírás</t>
  </si>
  <si>
    <t>Kapcsolódó termékek</t>
  </si>
  <si>
    <t>Útmutató / Csatolmány link</t>
  </si>
  <si>
    <t>STÁTUSZ</t>
  </si>
  <si>
    <t>Webshop státusz</t>
  </si>
  <si>
    <t>Megjegyzés (belső)</t>
  </si>
  <si>
    <t>Fő kat. ID</t>
  </si>
  <si>
    <t>Fő kat. Neve</t>
  </si>
  <si>
    <t>Kat. Neve</t>
  </si>
  <si>
    <t>Alkat. ID</t>
  </si>
  <si>
    <t>Alkat. Neve</t>
  </si>
  <si>
    <t xml:space="preserve">1. </t>
  </si>
  <si>
    <t>7.</t>
  </si>
  <si>
    <t>CPAP készülékek</t>
  </si>
  <si>
    <t>BiPAP készülékek</t>
  </si>
  <si>
    <t>Kifutott készülékek</t>
  </si>
  <si>
    <t xml:space="preserve">2. </t>
  </si>
  <si>
    <t xml:space="preserve">3. </t>
  </si>
  <si>
    <t>Orrmaszkok</t>
  </si>
  <si>
    <t>Arcmaszkok</t>
  </si>
  <si>
    <t xml:space="preserve">4. </t>
  </si>
  <si>
    <t>Szűrők</t>
  </si>
  <si>
    <t>Maszkpárnák</t>
  </si>
  <si>
    <t>4.2.1.</t>
  </si>
  <si>
    <t>Orrmaszk-párnák</t>
  </si>
  <si>
    <t>4.2.2.</t>
  </si>
  <si>
    <t>Arcmaszk-párnák</t>
  </si>
  <si>
    <t>Gégecsövek</t>
  </si>
  <si>
    <t>Párásítók tartozékai</t>
  </si>
  <si>
    <t>Tápkábelek</t>
  </si>
  <si>
    <t>Egyéb tartozékok</t>
  </si>
  <si>
    <t xml:space="preserve">5. </t>
  </si>
  <si>
    <t>Horkolásgátló szájbetét</t>
  </si>
  <si>
    <t>6.</t>
  </si>
  <si>
    <t>8.</t>
  </si>
  <si>
    <t>Üzemmód (CPA/APAP/BiLevel</t>
  </si>
  <si>
    <t>Nyomástartomány (hPa)</t>
  </si>
  <si>
    <t>Zajszint (dBA)</t>
  </si>
  <si>
    <t>Súly (kg)</t>
  </si>
  <si>
    <t>Méret (szé x ma x mé)</t>
  </si>
  <si>
    <t>Bluetooth / App kapcsolat (igen/nem)</t>
  </si>
  <si>
    <t>Párásító opció (van/nincs/beépítve)</t>
  </si>
  <si>
    <t>SD kártya tartozék?</t>
  </si>
  <si>
    <t>Kiszerelés típus (Egy méret / FitPack)</t>
  </si>
  <si>
    <t>Csomag tartalma (részletes)</t>
  </si>
  <si>
    <t>Közgyógyra írtható (igen/nem)</t>
  </si>
  <si>
    <t>Képernyő típusa</t>
  </si>
  <si>
    <t>Mágneses csat (igen/nem)</t>
  </si>
  <si>
    <t>Fűtött gégecső opcó (igen/nem)</t>
  </si>
  <si>
    <t>CPAP, APAP</t>
  </si>
  <si>
    <t>4-20 hPa</t>
  </si>
  <si>
    <t>26 dBA</t>
  </si>
  <si>
    <t>1.34 kg</t>
  </si>
  <si>
    <t>170x135x180 mm</t>
  </si>
  <si>
    <t>fekete</t>
  </si>
  <si>
    <t>Nincs</t>
  </si>
  <si>
    <t>hagyományos</t>
  </si>
  <si>
    <t>Igen</t>
  </si>
  <si>
    <t>Készülék szett</t>
  </si>
  <si>
    <t>Készülék, táska, gégecső, tápegység, tápkábel, szivacsszűrő, útmutató, SD kártya</t>
  </si>
  <si>
    <t>Nem</t>
  </si>
  <si>
    <t>2 év</t>
  </si>
  <si>
    <t>prisma_smart_magyar.pdf</t>
  </si>
  <si>
    <t>fehér</t>
  </si>
  <si>
    <t>prisma_smart_plus_HU.pdf</t>
  </si>
  <si>
    <t>4 - 20 hPa</t>
  </si>
  <si>
    <t>27 dBA</t>
  </si>
  <si>
    <t>1.04 kg (párásítóval)</t>
  </si>
  <si>
    <t>273.8 x 158.5 x 84.8 mm</t>
  </si>
  <si>
    <t>Igen (+ Celluláris modem)</t>
  </si>
  <si>
    <t>érintőképernyős</t>
  </si>
  <si>
    <t>Opcionális</t>
  </si>
  <si>
    <t>Nem (belső memória)</t>
  </si>
  <si>
    <t>Készülék beépített párásítóval, hordtáska, vékonyított gégecső, tápegység, tápkábel, szivacsszűrő, használati útmutató</t>
  </si>
  <si>
    <t>dreamstation2_hasznalati.pdf</t>
  </si>
  <si>
    <t>DreamStation2 auto cpap</t>
  </si>
  <si>
    <t>Prémium német auto CPAP készülék a maximális éjszakai nyugalomért. SoftPAP kilégzési könnyítéssel és SoftStart funkcióval teszi természetessé és akadálytalanná a légzést.</t>
  </si>
  <si>
    <t>Jövőálló, Bluetooth-kapcsolattal rendelkező német auto CPAP készülék. A prisma APP támogatással és felhő-technológiával nemcsak kényelmet, de modern távfelügyeleti lehetőséget is nyújt.</t>
  </si>
  <si>
    <t>A Philips legújabb generációs, érintőképernyős auto CPAP készüléke beépített párásítóval. Intelligens algoritmusa minden légvételre azonnal reagál, adatai pedig automatikusan szinkronizálódnak.</t>
  </si>
  <si>
    <t>Kapcs. Termékek neve</t>
  </si>
  <si>
    <t>Világszerte elismert, prémium auto CPAP készülék A-Flex nyomáskönnyítéssel és elegáns megjelenéssel.</t>
  </si>
  <si>
    <t>fehér/szürke</t>
  </si>
  <si>
    <t>dreamstation_manual_hu.pdf</t>
  </si>
  <si>
    <t>DreamStation párásító; Szivacsszűrő; Pollenszűrő; Baktériumszűrő</t>
  </si>
  <si>
    <t>prisma_20A_hasznalati.pdf</t>
  </si>
  <si>
    <t>A prisma-család prémium, érintőképernyős tagja FOT technológiával a pontosabb diagnózisért.</t>
  </si>
  <si>
    <t>1.4 kg</t>
  </si>
  <si>
    <t>4-20 cmH2O</t>
  </si>
  <si>
    <t>1.33 kg</t>
  </si>
  <si>
    <t>157x193x84 mm</t>
  </si>
  <si>
    <t>&lt;30 dBA</t>
  </si>
  <si>
    <t>0.82 kg</t>
  </si>
  <si>
    <t>as100a_manual_hu.pdf</t>
  </si>
  <si>
    <t>EEX520H15C</t>
  </si>
  <si>
    <t>Készülék, táska, gégecső, tápegység, tápkábel, 1 db szivacsszűrő, 1 csomag/2db pót szivacsszűrő, útmutató, SD kártya</t>
  </si>
  <si>
    <t>Készülék, táska, gégecső, tápegység, tápkábel, szivacsszűrő, 1 csomag/2db pót szivacsszűrő, útmutató, SD kártya</t>
  </si>
  <si>
    <t>EUXH; 1122446; 1122519; 1147018-01</t>
  </si>
  <si>
    <t>Innovatív, érintőképernyős auto CPAP készülék a német Heier szakmai támogatásával. Kompakt design és intelligens technológia a modern alvásterápiáért.</t>
  </si>
  <si>
    <t>Opcionális (fekete)</t>
  </si>
  <si>
    <t>Opcionális (fehér)</t>
  </si>
  <si>
    <t>Beépített</t>
  </si>
  <si>
    <t>Nem elérhető</t>
  </si>
  <si>
    <t>WM 29607</t>
  </si>
  <si>
    <t>PrismaHYBERNITE fűthető gégecső ???</t>
  </si>
  <si>
    <r>
      <rPr>
        <sz val="11"/>
        <color rgb="FFFF0000"/>
        <rFont val="Calibri"/>
        <family val="2"/>
        <charset val="238"/>
        <scheme val="minor"/>
      </rPr>
      <t xml:space="preserve">??? </t>
    </r>
    <r>
      <rPr>
        <sz val="11"/>
        <color theme="1"/>
        <rFont val="Calibri"/>
        <family val="2"/>
        <charset val="238"/>
        <scheme val="minor"/>
      </rPr>
      <t>Opcionális (külső tápellátással)</t>
    </r>
  </si>
  <si>
    <r>
      <rPr>
        <sz val="11"/>
        <color rgb="FFFF0000"/>
        <rFont val="Calibri"/>
        <family val="2"/>
        <charset val="238"/>
        <scheme val="minor"/>
      </rPr>
      <t>???</t>
    </r>
    <r>
      <rPr>
        <sz val="11"/>
        <color theme="1"/>
        <rFont val="Calibri"/>
        <family val="2"/>
        <charset val="238"/>
        <scheme val="minor"/>
      </rPr>
      <t xml:space="preserve"> Opcionális (külső tápellátással)</t>
    </r>
  </si>
  <si>
    <r>
      <t xml:space="preserve">WM 29680; WM 29928; WM 29652; WM 24445; 1147018-01; </t>
    </r>
    <r>
      <rPr>
        <sz val="11"/>
        <color rgb="FFFF0000"/>
        <rFont val="Calibri"/>
        <family val="2"/>
        <charset val="238"/>
        <scheme val="minor"/>
      </rPr>
      <t>???</t>
    </r>
    <r>
      <rPr>
        <sz val="11"/>
        <color theme="1"/>
        <rFont val="Calibri"/>
        <family val="2"/>
        <charset val="238"/>
        <scheme val="minor"/>
      </rPr>
      <t xml:space="preserve"> </t>
    </r>
    <r>
      <rPr>
        <sz val="11"/>
        <color rgb="FFFF0000"/>
        <rFont val="Calibri"/>
        <family val="2"/>
        <charset val="238"/>
        <scheme val="minor"/>
      </rPr>
      <t>WM 29067;</t>
    </r>
  </si>
  <si>
    <r>
      <t xml:space="preserve">WM 29490; WM 29928; WM 29652; WM 24445; 1147018-01; </t>
    </r>
    <r>
      <rPr>
        <sz val="11"/>
        <color rgb="FFFF0000"/>
        <rFont val="Calibri"/>
        <family val="2"/>
        <charset val="238"/>
        <scheme val="minor"/>
      </rPr>
      <t>??? WM 29067;</t>
    </r>
  </si>
  <si>
    <r>
      <t xml:space="preserve">WM 29680; WM 29928; WM 29652; WM 24445; 1147018-01; </t>
    </r>
    <r>
      <rPr>
        <sz val="11"/>
        <color rgb="FFFF0000"/>
        <rFont val="Calibri"/>
        <family val="2"/>
        <charset val="238"/>
        <scheme val="minor"/>
      </rPr>
      <t>??? WM 29067;</t>
    </r>
  </si>
  <si>
    <r>
      <t xml:space="preserve">prismaAQUA párásító; Szivacsszűrő; Pollenszűrő; Standard gégecső;  Baktériumszűrő; </t>
    </r>
    <r>
      <rPr>
        <sz val="11"/>
        <color rgb="FFFF0000"/>
        <rFont val="Calibri"/>
        <family val="2"/>
        <charset val="238"/>
        <scheme val="minor"/>
      </rPr>
      <t>???prismaHYBERNITE készlet;</t>
    </r>
  </si>
  <si>
    <r>
      <t xml:space="preserve">prismaAQUA párásító (fekete); Standard gégecső; Pollenszűrő; Szivacsszűrő; baktériumszűrő; </t>
    </r>
    <r>
      <rPr>
        <sz val="11"/>
        <color rgb="FFFF0000"/>
        <rFont val="Calibri"/>
        <family val="2"/>
        <charset val="238"/>
        <scheme val="minor"/>
      </rPr>
      <t>???prismaHYBERNITE készlet;</t>
    </r>
  </si>
  <si>
    <r>
      <t xml:space="preserve">prismaAQUA párásító (fehér); Standard gégecső; Pollenszűrő; Szivacsszűrő; Baktériumszűrő; </t>
    </r>
    <r>
      <rPr>
        <sz val="11"/>
        <color rgb="FFFF0000"/>
        <rFont val="Calibri"/>
        <family val="2"/>
        <charset val="238"/>
        <scheme val="minor"/>
      </rPr>
      <t>???prismaHYBERNITE készlet;</t>
    </r>
  </si>
  <si>
    <t>4-25 hPa</t>
  </si>
  <si>
    <t>Opcionális (külső táp.)</t>
  </si>
  <si>
    <t>4-30 hPa</t>
  </si>
  <si>
    <t>Prémium BiLevel készülék komplex légzési problémák és magas nyomásigény hatékony kezelésére.</t>
  </si>
  <si>
    <r>
      <t xml:space="preserve">WM 29680; </t>
    </r>
    <r>
      <rPr>
        <sz val="11"/>
        <color rgb="FFFF0000"/>
        <rFont val="Calibri"/>
        <family val="2"/>
        <charset val="238"/>
        <scheme val="minor"/>
      </rPr>
      <t>???WM 29067;</t>
    </r>
    <r>
      <rPr>
        <sz val="11"/>
        <color theme="1"/>
        <rFont val="Calibri"/>
        <family val="2"/>
        <charset val="238"/>
        <scheme val="minor"/>
      </rPr>
      <t xml:space="preserve"> 1147018-01; WM 24445; WM 29652; WM 29928;</t>
    </r>
  </si>
  <si>
    <r>
      <t xml:space="preserve">prismaAQUA (fekete); </t>
    </r>
    <r>
      <rPr>
        <sz val="11"/>
        <color rgb="FFFF0000"/>
        <rFont val="Calibri"/>
        <family val="2"/>
        <charset val="238"/>
        <scheme val="minor"/>
      </rPr>
      <t>???prismaHYBERNITE készlet;</t>
    </r>
    <r>
      <rPr>
        <sz val="11"/>
        <color theme="1"/>
        <rFont val="Calibri"/>
        <family val="2"/>
        <charset val="238"/>
        <scheme val="minor"/>
      </rPr>
      <t xml:space="preserve"> Baktériumszűrő; Gégecső; Pollenszűrő, Szivacsszűrő</t>
    </r>
  </si>
  <si>
    <t>Speciális AcSV készülék periodikus légzészavarok és szívelégtelenség melletti apnoe kezelésére.</t>
  </si>
  <si>
    <r>
      <t xml:space="preserve">A Löwenstein Medical prisma 25S egy professzionális terápiás eszköz, amely túllép a hagyományos CPAP határain. Kifejezetten olyan pácienseknek tervezték, akiknél az elhízásos hipoventiláció vagy a COPD miatt két, markánsan eltérő nyomásszintre van szükség a belégzéshez és a kilégzéshez. A készülék egyedülálló trigger-technológiája felismeri a páciens legkisebb légzési erőfeszítését is, és azonnal segíti azt. A német precizitású algoritmus és a SoftPAP technológia gondoskodik arról, hogy a terápia még extrém magas nyomáson is komfortos maradjon, minimálisra csökkentve a tüdő terhelését. </t>
    </r>
    <r>
      <rPr>
        <b/>
        <sz val="11"/>
        <color theme="1"/>
        <rFont val="Calibri"/>
        <family val="2"/>
        <charset val="238"/>
        <scheme val="minor"/>
      </rPr>
      <t>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</si>
  <si>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r>
      <t>Az AeonMed AS100A a globális orvostechnikai innováció egyik legmodernebb eszköze, melyet a kínai gyártó a neves német Heier céggel szoros szakmai együttműködésben fejlesztett ki. Rendkívül könnyű és modern készülék, a 3,5 colos érintőképernyője és az AS-Elex 7 fokozatú nyomáskönnyítése kiemelkedő komfortot nyújt. Az AS-Dry technológia a terápia végén kiszárítja a gégecsövet és a maszkot, megakadályozva a baktériumok szaporodását. Kis súlya miatt ideális utazóknak, akik nem akarnak kompromisszumot a biztonságban.</t>
    </r>
    <r>
      <rPr>
        <b/>
        <sz val="11"/>
        <color theme="1"/>
        <rFont val="Calibri"/>
        <family val="2"/>
        <charset val="238"/>
        <scheme val="minor"/>
      </rPr>
      <t xml:space="preserve"> 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</si>
  <si>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r>
      <t>A Philips DreamStation a terápiás hatékonyságot ötvözi a modern dizájnnal. Az A-Flex technológia a természetes légzés ritmusát követve szabályozza a nyomást, így elkerülhető a légszomj érzése. Színes kijelzője és intuitív menüje egyszerűvé teszi az adatok követését, a beépített Bluetooth segítségével pedig okostelefonon is láthatja statisztikáit.</t>
    </r>
    <r>
      <rPr>
        <b/>
        <sz val="11"/>
        <color theme="1"/>
        <rFont val="Calibri"/>
        <family val="2"/>
        <charset val="238"/>
        <scheme val="minor"/>
      </rPr>
      <t xml:space="preserve"> 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</si>
  <si>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r>
      <t xml:space="preserve">A Löwenstein prisma 20A a német precizitás csúcsa. A Forced Oscillation Technique (FOT) segítségével nagy pontossággal különbözteti meg az obstruktív és centrális apnoékat. Színes érintőképernyőjén minden beállítás könnyen elérhető. A SoftPAP kilégzési könnyítés három fokozatban állítható, a mélyalvás-jelző pedig segít az alvásminőség pontos értékelésében. </t>
    </r>
    <r>
      <rPr>
        <b/>
        <sz val="11"/>
        <color theme="1"/>
        <rFont val="Calibri"/>
        <family val="2"/>
        <charset val="238"/>
        <scheme val="minor"/>
      </rPr>
      <t xml:space="preserve">Fontos információ: </t>
    </r>
    <r>
      <rPr>
        <sz val="11"/>
        <color theme="1"/>
        <rFont val="Calibri"/>
        <family val="2"/>
        <charset val="238"/>
        <scheme val="minor"/>
      </rPr>
      <t>A készülék használatához terápiás maszk szükséges, amely külön tétel. Szabványos csatlakozója révén kínálatunk bármelyik maszkjával kompatibilis.</t>
    </r>
  </si>
  <si>
    <r>
      <t xml:space="preserve">A Löwenstein Medical </t>
    </r>
    <r>
      <rPr>
        <b/>
        <sz val="11"/>
        <color theme="1"/>
        <rFont val="Calibri"/>
        <family val="2"/>
        <charset val="238"/>
        <scheme val="minor"/>
      </rPr>
      <t>prisma SMART PLUS</t>
    </r>
    <r>
      <rPr>
        <sz val="11"/>
        <color theme="1"/>
        <rFont val="Calibri"/>
        <family val="2"/>
        <charset val="238"/>
        <scheme val="minor"/>
      </rPr>
      <t xml:space="preserve"> készüléke a német mérnöki precizitást ötvözi a legmodernebb digitális megoldásokkal. A terápiás élmény alapját egy klinikailag validált algoritmus adja, amely folyamatosan figyeli a légzést, és mindig az aktuális szükséglethez igazítja a nyomást. Az elalvást a </t>
    </r>
    <r>
      <rPr>
        <b/>
        <sz val="11"/>
        <color theme="1"/>
        <rFont val="Calibri"/>
        <family val="2"/>
        <charset val="238"/>
        <scheme val="minor"/>
      </rPr>
      <t>SoftStart</t>
    </r>
    <r>
      <rPr>
        <sz val="11"/>
        <color theme="1"/>
        <rFont val="Calibri"/>
        <family val="2"/>
        <charset val="238"/>
        <scheme val="minor"/>
      </rPr>
      <t xml:space="preserve"> funkció segíti, amely fokozatosan emeli a nyomást a beállított szintre, míg a </t>
    </r>
    <r>
      <rPr>
        <b/>
        <sz val="11"/>
        <color theme="1"/>
        <rFont val="Calibri"/>
        <family val="2"/>
        <charset val="238"/>
        <scheme val="minor"/>
      </rPr>
      <t>SoftPAP</t>
    </r>
    <r>
      <rPr>
        <sz val="11"/>
        <color theme="1"/>
        <rFont val="Calibri"/>
        <family val="2"/>
        <charset val="238"/>
        <scheme val="minor"/>
      </rPr>
      <t xml:space="preserve"> technológia a kilégzés pillanatában könnyíti meg a légzést a természetes érzet érdekében. A beépített Bluetooth kapcsolat és a prisma APP lehetővé teszi, hogy Ön saját okostelefonján kövesse nyomon a terápia sikerességét. </t>
    </r>
    <r>
      <rPr>
        <b/>
        <sz val="11"/>
        <color theme="1"/>
        <rFont val="Calibri"/>
        <family val="2"/>
        <charset val="238"/>
        <scheme val="minor"/>
      </rPr>
      <t>Ez a technológia a jövőben lehetővé teheti a távúton történő kontrollvizsgálatokat, megkönnyítve az orvosi konzultációt.</t>
    </r>
    <r>
      <rPr>
        <sz val="11"/>
        <color theme="1"/>
        <rFont val="Calibri"/>
        <family val="2"/>
        <charset val="238"/>
        <scheme val="minor"/>
      </rPr>
      <t xml:space="preserve"> Csendes működése és jövőálló technológiája hosszú távú, biztonságos megoldást nyújt az alvási apnoé kezelésében. </t>
    </r>
    <r>
      <rPr>
        <b/>
        <sz val="11"/>
        <color theme="1"/>
        <rFont val="Calibri"/>
        <family val="2"/>
        <charset val="238"/>
        <scheme val="minor"/>
      </rPr>
      <t>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</si>
  <si>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r>
      <t xml:space="preserve">A Löwenstein Medical prisma SMART készüléke a német precizitás és a megbízhatóság mintaképe. A készülék szíve egy klinikailag validált algoritmus, amely folyamatosan alkalmazkodik az Ön légzéséhez. A </t>
    </r>
    <r>
      <rPr>
        <b/>
        <sz val="11"/>
        <color theme="1"/>
        <rFont val="Calibri"/>
        <family val="2"/>
        <charset val="238"/>
        <scheme val="minor"/>
      </rPr>
      <t>SoftStart</t>
    </r>
    <r>
      <rPr>
        <sz val="11"/>
        <color theme="1"/>
        <rFont val="Calibri"/>
        <family val="2"/>
        <charset val="238"/>
        <scheme val="minor"/>
      </rPr>
      <t xml:space="preserve"> funkció segít a könnyű elalvásban, mivel a nyomást csak fokozatosan emeli a terápiás szintre, míg a </t>
    </r>
    <r>
      <rPr>
        <b/>
        <sz val="11"/>
        <color theme="1"/>
        <rFont val="Calibri"/>
        <family val="2"/>
        <charset val="238"/>
        <scheme val="minor"/>
      </rPr>
      <t>SoftPAP</t>
    </r>
    <r>
      <rPr>
        <sz val="11"/>
        <color theme="1"/>
        <rFont val="Calibri"/>
        <family val="2"/>
        <charset val="238"/>
        <scheme val="minor"/>
      </rPr>
      <t xml:space="preserve"> technológia a kilégzésnél könnyíti meg a légzést, elkerülve a kényszerített érzetet. Halk működése és rendkívüli strapabírása miatt ideális társ a mindennapi terápiához azoknak, akik a stabil, bizonyított technológiát keresik felesleges sallangok nélkül. </t>
    </r>
    <r>
      <rPr>
        <b/>
        <sz val="11"/>
        <color theme="1"/>
        <rFont val="Calibri"/>
        <family val="2"/>
        <charset val="238"/>
        <scheme val="minor"/>
      </rPr>
      <t>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</si>
  <si>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r>
      <t xml:space="preserve">prismaAQUA; </t>
    </r>
    <r>
      <rPr>
        <sz val="11"/>
        <color rgb="FFFF0000"/>
        <rFont val="Calibri"/>
        <family val="2"/>
        <charset val="238"/>
        <scheme val="minor"/>
      </rPr>
      <t>???prismaHYBERNITE;</t>
    </r>
    <r>
      <rPr>
        <sz val="11"/>
        <color theme="1"/>
        <rFont val="Calibri"/>
        <family val="2"/>
        <charset val="238"/>
        <scheme val="minor"/>
      </rPr>
      <t xml:space="preserve"> Baktériumszűrő; Pollenszűrő; Szivacsszűrő;</t>
    </r>
  </si>
  <si>
    <r>
      <t xml:space="preserve">WM 29680; </t>
    </r>
    <r>
      <rPr>
        <sz val="11"/>
        <color rgb="FFFF0000"/>
        <rFont val="Calibri"/>
        <family val="2"/>
        <charset val="238"/>
        <scheme val="minor"/>
      </rPr>
      <t>???WM 29067;</t>
    </r>
    <r>
      <rPr>
        <sz val="11"/>
        <color theme="1"/>
        <rFont val="Calibri"/>
        <family val="2"/>
        <charset val="238"/>
        <scheme val="minor"/>
      </rPr>
      <t xml:space="preserve"> 1147018-01; 1116700; WM 24445</t>
    </r>
  </si>
  <si>
    <t>Kifutott</t>
  </si>
  <si>
    <t>Megbízható klasszikus készülék (Kifutott típus).</t>
  </si>
  <si>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</si>
  <si>
    <t>Korábbi generációs CPAP készülék (Kifutott típus)</t>
  </si>
  <si>
    <t>Korábbi generációs BiPAP készülék (Kifutott típus)</t>
  </si>
  <si>
    <t>WM 24403; WM 24445; WM 15321; WM 25668; 1147018-01</t>
  </si>
  <si>
    <t>párásító, gégecső, szivacsszűrő, pollenszűrő, baktériumszűrő</t>
  </si>
  <si>
    <t>Remstar szivacsszűrő, pollenszűrő; gégecső</t>
  </si>
  <si>
    <t>1029330; 1029331; 1032907</t>
  </si>
  <si>
    <t>Készülék, táska, gégecső, tápegység, tápkábel, szűrők, útmutató, SD kártya</t>
  </si>
  <si>
    <t>párásító; AS100 szűrő készlet</t>
  </si>
  <si>
    <r>
      <t xml:space="preserve">122014265; </t>
    </r>
    <r>
      <rPr>
        <b/>
        <sz val="11"/>
        <color rgb="FFFF0000"/>
        <rFont val="Calibri"/>
        <family val="2"/>
        <charset val="238"/>
        <scheme val="minor"/>
      </rPr>
      <t>AS100_filter</t>
    </r>
  </si>
  <si>
    <t>Professzionális BiLevel-ST készülék komplex terápiás igényekhez.</t>
  </si>
  <si>
    <t>3 év</t>
  </si>
  <si>
    <t xml:space="preserve"> 4-30 hPa</t>
  </si>
  <si>
    <t>26 dB(A)</t>
  </si>
  <si>
    <t>1,4 kg</t>
  </si>
  <si>
    <t>170 x 135 x 180 mm</t>
  </si>
  <si>
    <t>CPAP, APAP, S, ST, T, autoST, aPCV</t>
  </si>
  <si>
    <t>WM 29680; ???WM 29067; 1147018-01; WM 24445; WM 29652; WM 29928;</t>
  </si>
  <si>
    <t>prismaAQUA (fekete); ???prismaHYBERNITE készlet; Baktériumszűrő; Gégecső; Pollenszűrő, Szivacsszűrő</t>
  </si>
  <si>
    <t>2 vagy 3 év (vételár alapján)</t>
  </si>
  <si>
    <t>A Löwenstein Medical prisma 30ST a BiLevel terápia csúcsát képviseli, amely maximális biztonságot nyújt a legkomplexebb légzészavarok esetén is. Kifejezetten olyan súlyosabb állapotú betegeknek fejlesztették ki, akiknél a légzés folyamatos támogatása mellett egy biztonsági háttérfrekvenciára (ST üzemmód) is szükség van, például központi apnoe vagy krónikus légzési elégtelenség fennállásakor. Az intelligens autoST algoritmus folyamatosan alkalmazkodik a beteg egyéni igényeihez, garantálva a szükséges levegőmennyiséget és az optimális oxigénszintet a legnehezebb éjszakai szakaszokban is. A modern érintőképernyő és a rendkívül halk működés a legmagasabb szintű betegkomfortot szolgálja. Fontos információ: A készülék használatához terápiás maszk szükséges, amely külön tétel. Szabványos csatlakozója révén kínálatunk bármelyik maszkjával kompatibilis.</t>
  </si>
  <si>
    <t>A Löwenstein Medical prisma CR az anticiklikus szervoventiláció (AcSV) technológiájával a periodikus légzészavarok, például a Cheyne-Stokes légzés elismert szakértője. Ezt a professzionális eszközt kifejezetten szívbetegséggel küzdő pácienseknek és komplex alvási apnoéban szenvedőknek tervezték, hogy lélegzetről lélegzetre stabilizálja a szabálytalan légzésmintázatot. A készülék rendkívül gyorsan reagál a légzés intenzitásának változásaira, hatékonyan megakadályozva a fulladásérzetet és a gyakori mikroébredéseket. A német mérnöki precizitás garantálja, hogy a terápia hajszálpontosan kövesse a beteg igényeit, biztosítva a pihentető és biztonságos alvást. Fontos információ: A készülék használatához terápiás maszk szükséges, amely külön tétel. Szabványos csatlakozója révén kínálatunk bármelyik maszkjával kompatibilis.</t>
  </si>
  <si>
    <t>CPAP, APAP, S, autoS</t>
  </si>
  <si>
    <t>CPAP, AcSV, (Anticiklikus szervoventiláció)</t>
  </si>
  <si>
    <t>Fűthető párásító prisma SMART és a prisma SMART Plus készülékekhez, fehér színben.</t>
  </si>
  <si>
    <t>Fűthető párásító prisma SMART, prisma 20A CPAP készülékekhez, valamint a prisma BiPAP (25S , 30ST és CR) készülékekhez, fekete színben.</t>
  </si>
  <si>
    <t>140 x 135 x 120 mm</t>
  </si>
  <si>
    <t>kb. 0,6 kg (víz nélkül)</t>
  </si>
  <si>
    <t>Töltési térfogat (ml)</t>
  </si>
  <si>
    <t>max 400 ml</t>
  </si>
  <si>
    <t>nem</t>
  </si>
  <si>
    <t>Jótállás (év)</t>
  </si>
  <si>
    <t>PrismaSmart Plus</t>
  </si>
  <si>
    <t>LMT 31785-1110; WM 29600-1; WM 29900-1; WM 29930-2; WM 29960-2110</t>
  </si>
  <si>
    <t>PrismaSmart, A20, 25S, 30ST, CR</t>
  </si>
  <si>
    <t>párásító kalauz letölthető</t>
  </si>
  <si>
    <t>A somnoAQUA párásító a kifutott SOMNObalance készülékek dedikált kiegészítője, csak ezen típusokkal kompatibilis. Segít a terápiás levegő nedvesítésében, javítva az alvásminőséget.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</si>
  <si>
    <t>140 x 150 x 100 mm</t>
  </si>
  <si>
    <t>max. 300 ml</t>
  </si>
  <si>
    <t>átlátszó</t>
  </si>
  <si>
    <t>Somnobalance</t>
  </si>
  <si>
    <t>Az Aeonmed AS100A párásító egyszerű és hatékony megoldást kínál az orr- és torokszárazság megelőzésére, 5 fokozatban. A tartály könnyen kivehető a készülékből, így a feltöltés és a tisztítás pár másodperc alatt elvégezhető. Megbízható fűtési technológiája stabil páratartalmat biztosít az éjszaka folyamán.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</si>
  <si>
    <r>
      <t xml:space="preserve">A prismaAQUA fűthető párásító a terápiás komfort növelésének kulcsfontosságú eszköze, amely megakadályozza a légutak és a szájnyálkahártya kiszáradását. A készülékbe észrevétlenül integrálható egység fűtési intenzitása a CPAP készülék menüjéből egyszerűen szabályozható 5 fokozatban, így a páratartalom mindig a páciens egyéni igényeihez igazítható. A tartály kialakítása lehetővé teszi a könnyű töltést és a higiénikus tisztítást.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t>
    </r>
    <r>
      <rPr>
        <b/>
        <sz val="11"/>
        <color theme="1"/>
        <rFont val="Calibri"/>
        <family val="2"/>
        <charset val="238"/>
        <scheme val="minor"/>
      </rPr>
      <t>Párásító Kalauzt!</t>
    </r>
  </si>
  <si>
    <t>A prismaAQUA fűthető párásító a terápiás komfort növelésének kulcsfontosságú eszköze, amely megakadályozza a légutak és a szájnyálkahártya kiszáradását. A készülékbe észrevétlenül integrálható egység fűtési intenzitása a CPAP készülék menüjéből egyszerűen szabályozható, 5 fokozatban, így a páratartalom mindig a páciens egyéni igényeihez igazítható. A tartály kialakítása lehetővé teszi a könnyű töltést és a higiénikus tisztítást.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</si>
  <si>
    <t>AeonMEd AS100</t>
  </si>
  <si>
    <t>max. 325 ml</t>
  </si>
  <si>
    <t>A Philips DreamStation párásító egysége adaptív módon szabályozza a páratartalmat, figyelembe véve a környezeti hőmérséklet változásait is, így minimalizálva a gégecsőben való páralecsapódást. A tartály felnyitható fedele rendkívül könnyű tisztítást tesz lehetővé. Kompakt kialakítása révén a készülék és a párásító egységes, elegáns megjelenést kölcsönöz a hálószobában.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</si>
  <si>
    <t>Fűthető párásító egység Philips Dreamstation készülékhez.</t>
  </si>
  <si>
    <t>Fűthető párásító egység Aeonmed készülékekhez.</t>
  </si>
  <si>
    <t>Fűthető párásító a korábbi SOMNObalance készülékhez.</t>
  </si>
  <si>
    <t>Selymes érintés és német precizitás: az ultrakönnyű kényelem új szintje.</t>
  </si>
  <si>
    <t>Az intelligens maszk, amely Önre van kalibrálva – méretválasztási gondok nélkül.</t>
  </si>
  <si>
    <t>A stabilitás és az egyéni testreszabhatóság bajnoka – az egyik legnépszerűbb választásunk.</t>
  </si>
  <si>
    <t>Méret</t>
  </si>
  <si>
    <t>XS</t>
  </si>
  <si>
    <t>S/M</t>
  </si>
  <si>
    <t>M/L</t>
  </si>
  <si>
    <t>XL</t>
  </si>
  <si>
    <t>Szülőtermék</t>
  </si>
  <si>
    <t>CARA-ORRMASZK</t>
  </si>
  <si>
    <t>J.EASY-ORRMASZK</t>
  </si>
  <si>
    <t>59 g</t>
  </si>
  <si>
    <t>WM 25192; WM 25189</t>
  </si>
  <si>
    <t>A választott méretű orrpárna, fejpánt, maszkváz</t>
  </si>
  <si>
    <t>58 g</t>
  </si>
  <si>
    <t>60 g</t>
  </si>
  <si>
    <t>72 x 112 x 70 mm</t>
  </si>
  <si>
    <t>72 x 117 x 70 mm</t>
  </si>
  <si>
    <t>72 x 118 x 70 mm</t>
  </si>
  <si>
    <t>4-30hPA</t>
  </si>
  <si>
    <t>WM 25192; WM 25238</t>
  </si>
  <si>
    <t>WM 25192; WM 25239;</t>
  </si>
  <si>
    <t>WM 25192; WM 25576</t>
  </si>
  <si>
    <t>CARA fejpánt, CARA orrpárna XS</t>
  </si>
  <si>
    <t>CARA fejpánt, CARA orrpárna S/M</t>
  </si>
  <si>
    <t>CARA fejpánt, CARA orrpárna M/L</t>
  </si>
  <si>
    <t>CARA fejpánt, CARA orrpárna XL</t>
  </si>
  <si>
    <t>Méretenként</t>
  </si>
  <si>
    <t>Egyméretes</t>
  </si>
  <si>
    <t>87 g</t>
  </si>
  <si>
    <t>A választott méretű orrpárna, fejpánt, maszkváz, homloktámasz</t>
  </si>
  <si>
    <t xml:space="preserve">WM 25255; WM 25253; WM 26801; </t>
  </si>
  <si>
    <t xml:space="preserve">J.One fejpánt, J.One szilikon, J.One/Easy homloktámasz </t>
  </si>
  <si>
    <t xml:space="preserve">WM 25505; WM 26801; WM 26803; </t>
  </si>
  <si>
    <t>J.Easy fejpánt, J.One/Easy homloktámasz, J.Easy orrpárna S</t>
  </si>
  <si>
    <t>J.Easy fejpánt,  J.One/Easy homloktámasz J.Easy orrpárna M</t>
  </si>
  <si>
    <t>J.Easy fejpánt,  J.One/Easy homloktámasz, J.Easy orrpárna L</t>
  </si>
  <si>
    <t>J.ONE-ORRMASZK</t>
  </si>
  <si>
    <t>DREAMWEAR-ORRMASZK</t>
  </si>
  <si>
    <t>M-es méretű maszkváz (standard), szilikon orrpárnák 4 féle méretben (S, M, MW, L), puha textil vázborítás (2 db), fejpánt, könyökidom, használati útmutató.</t>
  </si>
  <si>
    <t>FitPack (4 méretű - S, M, MW, L - orrpárna 1 csomagban)</t>
  </si>
  <si>
    <t>4-20hPA</t>
  </si>
  <si>
    <t>kb. 75g</t>
  </si>
  <si>
    <t>1116751; 1116747; 1116745; 1116754; 1116748; 1116740; 1116741; 1116742; 1116743; 1146472; 1146473; 1146474;</t>
  </si>
  <si>
    <t>Dreamwear fejpánt, váz L, váz S, vázborítás, kilégző adapter, szilikonok sima (S, M, MW, L) és orrillesztékes (S, M, L)</t>
  </si>
  <si>
    <t>3.3</t>
  </si>
  <si>
    <t>Kifutott maszkok</t>
  </si>
  <si>
    <t>DREAMWISP-KIFUTOTT</t>
  </si>
  <si>
    <t>NUANCEGEL-KIFUTOTT</t>
  </si>
  <si>
    <t>COMFORTGEL-KIFUTOTT</t>
  </si>
  <si>
    <t>LEGACY-CG</t>
  </si>
  <si>
    <t>Comfort Gel</t>
  </si>
  <si>
    <t>A DreamWisp az orrot körülölelő (Wisp) párna stabilitását ötvözte a fejtetőn elhelyezett csőcsatlakozás előnyeivel. Amennyiben Ön korábban ezt a típust használta, az alváslaborban, vagy Szaküzletünkben segítünk kiválasztani a legmegfelelőbb, modern alternatívát.</t>
  </si>
  <si>
    <t>1116720; 1094060; 1094061</t>
  </si>
  <si>
    <t>Dreamwear, Wisp szilikon, Wisp textil</t>
  </si>
  <si>
    <t>Kifutott termék. A DreamWisp orrmaszk a stabilitás és a szabadság úttörő hibridje volt – mára átadta helyét az újabb generációknak.</t>
  </si>
  <si>
    <t>Kifutott termék. Nuance Gel – nyitott kialakítása és a géltechnológia miatt úttörőnek számított. Utóda ma is kapható: Nuance Pro Gel néven.</t>
  </si>
  <si>
    <t>1105168; 1116720</t>
  </si>
  <si>
    <t>Nuance ProGel, DreamWear</t>
  </si>
  <si>
    <r>
      <t xml:space="preserve">Bár a textilkeretes alapmodell forgalmazása megszűnt, a koncepció tovább él a megújult </t>
    </r>
    <r>
      <rPr>
        <b/>
        <sz val="11"/>
        <color theme="1"/>
        <rFont val="Calibri"/>
        <family val="2"/>
        <charset val="238"/>
        <scheme val="minor"/>
      </rPr>
      <t>Nuance Pro Gel</t>
    </r>
    <r>
      <rPr>
        <sz val="11"/>
        <color theme="1"/>
        <rFont val="Calibri"/>
        <family val="2"/>
        <charset val="238"/>
        <scheme val="minor"/>
      </rPr>
      <t xml:space="preserve"> változatban. A modern utódmodell egyik legfontosabb fejlesztése a stabilabb illeszkedést biztosító, orcáknál zselébetétekkel kiegészített fejpánt-rendszer. FIGYELEM – Kompatibilitási tájékoztató: Felhívjuk figyelmét, hogy a Nuance Pro Gel megújított, zselébetétes fejpántja nem illeszkedik a korábbi, textilkeretes (Nuance Gel) modellhez. Amennyiben a régi textilkeretes maszkjához keresne kiegészítőt, javasoljuk a teljes maszkrendszer frissítését a Nuance Pro változatra vagy a modernebb DreamWear rendszerre a teljesebb szabadságért.</t>
    </r>
  </si>
  <si>
    <t>Kifutott termék. Philips Comfort Gel – a stabilitás legendája. A klasszikus kék gél-párna, amely generációkon át biztosította a szivárgásmentes terápiát.</t>
  </si>
  <si>
    <t>A Comfort Gel (később ComfortGel Blue) maszk az alvásterápia egyik legmeghatározóbb modellje volt. Népszerűségét a masszív kialakításnak és a legendás "kék gél" párnának köszönhette, amely kiválóan idomult az arcformához, miközben stabilitást nyújtott még magas nyomásértékek mellett is. Amennyiben Ön korábban ezt a típust használta, az alváslaborban, vagy Szaküzletünkben segítünk kiválasztani a legmegfelelőbb, modern alternatívát.</t>
  </si>
  <si>
    <t>J. Easy (S, M, L), Cara (XS, S/M, M/L, XL)</t>
  </si>
  <si>
    <t>WM 25510; WM 25520; WM 25530; WM 25590; WM 25600; WM 25610;WM 25680</t>
  </si>
  <si>
    <t>kb 82g</t>
  </si>
  <si>
    <t>4-20 hPA</t>
  </si>
  <si>
    <t>3 méretű - S, M, L - orrpárna 1 csomagban, zselébetétes szilikon fejpánt, használati útmutató</t>
  </si>
  <si>
    <t>FitPack (3 méretű - S, M, L - orrpárna 1 csomagban)</t>
  </si>
  <si>
    <t>1105178; 1105173; 1105174; 1105175</t>
  </si>
  <si>
    <t>Nuance Pro fejpánt, Nuance sziiikonok ((S, M, L)</t>
  </si>
  <si>
    <t>S</t>
  </si>
  <si>
    <t>M</t>
  </si>
  <si>
    <t>L</t>
  </si>
  <si>
    <t>PICO-ORRMASZK</t>
  </si>
  <si>
    <t>WISP-ORRMASZK</t>
  </si>
  <si>
    <t>NUANCEPRO-ORRMASZK</t>
  </si>
  <si>
    <t>kb. 58g</t>
  </si>
  <si>
    <t>4-30 hPA</t>
  </si>
  <si>
    <t>A kiválasztott méretű orrpárna, fejpánt, használati útmutató</t>
  </si>
  <si>
    <t>1146406; 1104936; 1104937; 1104938</t>
  </si>
  <si>
    <t>Pico fejpánt, Pico szilikonok (S/M, L, XL)</t>
  </si>
  <si>
    <t>kb . 70g</t>
  </si>
  <si>
    <t>FitPack (3 méretű - S/M, L, XL - orrpárna 1 csomagban)</t>
  </si>
  <si>
    <t>fejpánt, váz, maszkcső és könyök, orrpárna 3 méretben (S/M, L, XL), használati útmutató.</t>
  </si>
  <si>
    <t>Wisp fejpánt, maszkcsőés könyök, váz szilikon, váz textil, szilikonok (S/M, L XL)</t>
  </si>
  <si>
    <t>1094078; 1105180; 1094080; 1094081; 1094087; 1094088; 1112031</t>
  </si>
  <si>
    <t>Philips Wisp – Stabil illeszkedés és szabad látómező. Az extra rugalmas rövid cső csökkenti a maszk elmozdulását, a FitPack kiszerelés pedig garantálja a tökéletes méretet.</t>
  </si>
  <si>
    <t>Philips Nuance Pro Gel – a világ első gél-párnás orrillesztékes maszkja. A zselés technológia  kényelme és az extra hajlékony rövid cső stabilitása egyetlen professzionális csomagban.</t>
  </si>
  <si>
    <t>A megbízható kényelem új generációja. Rendkívül csendes működés és stabil illeszkedés a zavartalan, szivárgásmentes éjszakai pihenésért.</t>
  </si>
  <si>
    <t>kb. 68g</t>
  </si>
  <si>
    <t>maszkváz, a kiválasztott méretű maszkpárna, fejpánt, maszkcső, használati útmutató</t>
  </si>
  <si>
    <t>50x61x75mm</t>
  </si>
  <si>
    <t>57x61x73mm</t>
  </si>
  <si>
    <t>63x65x73 mm</t>
  </si>
  <si>
    <t>Holttér (ml)</t>
  </si>
  <si>
    <t>65 ml</t>
  </si>
  <si>
    <t>71 ml</t>
  </si>
  <si>
    <t>87 ml</t>
  </si>
  <si>
    <t>100 ml</t>
  </si>
  <si>
    <t>105 ml</t>
  </si>
  <si>
    <t>115 ml</t>
  </si>
  <si>
    <t>kb. 100 x 100 x 80 mm</t>
  </si>
  <si>
    <t>kb. 105 x 110 x 80 mm</t>
  </si>
  <si>
    <t>97 g</t>
  </si>
  <si>
    <t>kb. 110 x 120 x 80 mm</t>
  </si>
  <si>
    <t>98 g</t>
  </si>
  <si>
    <t>94 g</t>
  </si>
  <si>
    <t>90 x 145 x 101 mm</t>
  </si>
  <si>
    <t>90 x 155 x 101 mm</t>
  </si>
  <si>
    <t>96 x 170 x 105 mm</t>
  </si>
  <si>
    <t>120 g</t>
  </si>
  <si>
    <t>126 g</t>
  </si>
  <si>
    <t>134 g</t>
  </si>
  <si>
    <t>180 ml</t>
  </si>
  <si>
    <t>210 ml</t>
  </si>
  <si>
    <t>270 ml</t>
  </si>
  <si>
    <t>4-40 hPA</t>
  </si>
  <si>
    <t>96 x 115 x 83 mm</t>
  </si>
  <si>
    <t>90 ml</t>
  </si>
  <si>
    <t>127 g</t>
  </si>
  <si>
    <t>89 x 155 x 97 mm</t>
  </si>
  <si>
    <t>240 ml</t>
  </si>
  <si>
    <t>74 ml</t>
  </si>
  <si>
    <t>76 ml</t>
  </si>
  <si>
    <t>79 ml</t>
  </si>
  <si>
    <t>70 x 125 x 75 mm</t>
  </si>
  <si>
    <t>98 ml</t>
  </si>
  <si>
    <t>69 g</t>
  </si>
  <si>
    <t>93 x 145 x 89 mm</t>
  </si>
  <si>
    <t>93 x 160 x 90 mm</t>
  </si>
  <si>
    <t>93 x 174 x 91 mm</t>
  </si>
  <si>
    <t>96 x 185 x 100 mm</t>
  </si>
  <si>
    <t xml:space="preserve">93 g </t>
  </si>
  <si>
    <t xml:space="preserve">97 g </t>
  </si>
  <si>
    <t>102 g</t>
  </si>
  <si>
    <t>109 g</t>
  </si>
  <si>
    <t>219 ml</t>
  </si>
  <si>
    <t>244 ml</t>
  </si>
  <si>
    <t>291 ml</t>
  </si>
  <si>
    <t>155 x 100 x 95 mm</t>
  </si>
  <si>
    <t>165 x 100 x 95 mm</t>
  </si>
  <si>
    <t>175 x 100 x 100 mm</t>
  </si>
  <si>
    <t>137 g</t>
  </si>
  <si>
    <t>141 g</t>
  </si>
  <si>
    <t>150 g</t>
  </si>
  <si>
    <t>246 ml</t>
  </si>
  <si>
    <t>288 ml</t>
  </si>
  <si>
    <t>326 ml</t>
  </si>
  <si>
    <t>4-35 hPA</t>
  </si>
  <si>
    <t>4-25 hPA</t>
  </si>
  <si>
    <t>max. 300ml</t>
  </si>
  <si>
    <t>Párásítási fokozat</t>
  </si>
  <si>
    <t>párásító egység (párásító kamra és víztartály), használati útmutató</t>
  </si>
  <si>
    <t>0,44 kg</t>
  </si>
  <si>
    <t>160x148x99,5 mm</t>
  </si>
  <si>
    <t>87 x 148 x 99,5 mm</t>
  </si>
  <si>
    <t>Ki, 1-5</t>
  </si>
  <si>
    <t>Párásító maximális leadott hőmérséklete</t>
  </si>
  <si>
    <t>43 °C</t>
  </si>
  <si>
    <t>37 °C</t>
  </si>
  <si>
    <t>Löwenstein CARA Full Face – a pehelykönnyű szabadság. Csendes működés, kiváló illeszkedés és bőrbarát anyagok egy díjnyertes orr-száj maszkban.</t>
  </si>
  <si>
    <t>WM 25243; WM 25601;</t>
  </si>
  <si>
    <t>WM 25243; WM 25602;</t>
  </si>
  <si>
    <t>WM 25243; WM 25603;</t>
  </si>
  <si>
    <t>WM 25243; WM 25676;</t>
  </si>
  <si>
    <t>Cara FF fejpánt, szilikon S</t>
  </si>
  <si>
    <t>Cara FF fejpánt, szilikon M</t>
  </si>
  <si>
    <t>Cara FF fejpánt, szilikon L</t>
  </si>
  <si>
    <t>Cara FF fejpánt, szilikon XL</t>
  </si>
  <si>
    <t>WM 25606; WM 26871</t>
  </si>
  <si>
    <t>WM 25606; WM 26872</t>
  </si>
  <si>
    <t>WM 25606; WM 26873</t>
  </si>
  <si>
    <t>J.Easy FF fejpánt, szilikon S</t>
  </si>
  <si>
    <t>J.Easy FF fejpánt, szilikon M</t>
  </si>
  <si>
    <t>J.Easy FF fejpánt, szilikon L</t>
  </si>
  <si>
    <t>WM 25105; WM 25104</t>
  </si>
  <si>
    <t>WM 25105; WM 25114</t>
  </si>
  <si>
    <t>WM 25105; WM 25124</t>
  </si>
  <si>
    <t>J.Easy NEXT FF fejpánt, szilikon S</t>
  </si>
  <si>
    <t>J.Easy NEXT FF fejpánt, szilikon M</t>
  </si>
  <si>
    <t>J.Easy NEXT FF fejpánt, szilikon L</t>
  </si>
  <si>
    <t>Löwenstein JOYCEeasy Full Face – a stabilitás és kényelem klasszikus egyensúlya. Állítható homloktámasz és SilkTec bevonat a személyre szabott, irritációmentes illeszkedésért.</t>
  </si>
  <si>
    <t>Löwenstein JOYCEeasy next FF – a megbízhatóság új generációja. Stabil illeszkedés, állítható homloktámasz és SilkTec bevonat a professzionális terápia szolgálatában.</t>
  </si>
  <si>
    <t>A JOYCEeasy next FF az egyik legsikeresebb orr-száj maszkunk továbbfejlesztett változata, amely a Löwenstein Medical évtizedes tapasztalatait ötvözi. A tervezők megőrizték a JOYCE-sorozatra jellemző rendkívüli stabilitást, miközben a maszk vázát könnyebbé és áramvonalasabbá tették. Ez a típus ideális választás azoknak a pácienseknek, akik a hagyományos, homloktámaszos kialakítású maszkokban bíznak, de elvárják a modern anyaghasználat nyújtotta extra kényelmet.
Szakmai érv:
A JOYCEeasy next FF legfőbb technológiai előnye a precízen, több fokozatban állítható homloktámasz, amely lehetővé teszi a maszk dőlésszögének személyre szabott beállítását. Ez a megoldás segít abban, hogy a tartóerő egyenletesen oszoljon el a homlok és az orrnyereg között, elkerülve a kellemetlen nyomáspontokat. A párna és a homloktámasz felülete is a speciális SilkTec bevonattal készült: ez a selymes tapintású réteg minimalizálja a szilikon és a bőr közötti súrlódást, így jelentősen csökkenti az irritáció és a bőrpír kialakulásának esélyét. A maszk gömbcsuklós csatlakozása és a csendes kilégzőrendszer zavartalan mozgásszabadságot és nyugodt éjszakát biztosít.
Főbb előnyök:
Személyre szabott stabilitás: Állítható homloktámasz a tökéletes illeszkedésért és a tehermentesített orrnyeregért.
SilkTec technológia: Bőrbarát, selymesen puha szilikon felület az érintkezési pontokon.
Könnyített kialakítás: Erős tartás modernebb, kisebb súlyú vázszerkezettel.
Intuitív kezelés: Színkódolt rögzítőkapcsok és egyszerűen tisztítható alkatrészek.
Mágnesmentes rögzítés: Biztonsággal alkalmazható minden páciensnél, beültetett orvostechnikai eszközök (pl. pacemaker) mellett is.</t>
  </si>
  <si>
    <t>WM 25277; WM 25293</t>
  </si>
  <si>
    <t>J.ONE FF fejpánt, szilikon</t>
  </si>
  <si>
    <t>maszkváz, a kiválasztott méretű maszkpárna, fejpánt, használati útmutató</t>
  </si>
  <si>
    <t>maszkváz, egyméretes maszkpárna, fejpánt, használati útmutató</t>
  </si>
  <si>
    <t>LMT 26435; LMT 26602</t>
  </si>
  <si>
    <t>LMT 26435; LMT 26603</t>
  </si>
  <si>
    <t>LMT 26435; LMT 26604</t>
  </si>
  <si>
    <t>Lena fejpánt, szilikon S</t>
  </si>
  <si>
    <t>Lena fejpánt, szilikon M</t>
  </si>
  <si>
    <t>Lena fejpánt, szilikon L</t>
  </si>
  <si>
    <t>Löwenstein JOYCEone Full Face – az intelligens választás. Önállóan idomuló kialakítás és SilkTec technológia egyetlen, mindenki számára ideális méretben.</t>
  </si>
  <si>
    <t>Löwenstein LENA – professzionális megoldás magas terápiás nyomáshoz. Kiemelkedő stabilitás, dupla ajkú maszkpárna és integrált oxigéncsatlakozó a maximális biztonságért.</t>
  </si>
  <si>
    <t>LENA-MASZK</t>
  </si>
  <si>
    <t>CARA-FULLFACEMASZK</t>
  </si>
  <si>
    <t>JOYCEEASY-FULLFACEMASZK</t>
  </si>
  <si>
    <t>JOYCEEASYNEXT-FULLFACEMASZK</t>
  </si>
  <si>
    <t>JOYCEONE-FULLFACEMASZK</t>
  </si>
  <si>
    <t>AMARA-FULLFACEMASZK</t>
  </si>
  <si>
    <t>AMARAGEL-FULLFACEMASZK</t>
  </si>
  <si>
    <t>AMARAVIEW-FULLFACEMASZK</t>
  </si>
  <si>
    <t>DREAMWEAR-FULLFACEMASZK</t>
  </si>
  <si>
    <t>Philips Amara – az egyszerűség és hatékonyság találkozása. Pehelykönnyű, mindössze négy alkatrészből álló orr-száj maszk a biztos illeszkedésért.</t>
  </si>
  <si>
    <t>231 ml</t>
  </si>
  <si>
    <t>242 ml</t>
  </si>
  <si>
    <t>253 ml</t>
  </si>
  <si>
    <t>1090297; 1090292; 1090293; 1090294; 1090492; 1090493; 1090494</t>
  </si>
  <si>
    <t>Amara fejpánt, szilikonok (S, M, L) és géles párnák (S, M, L)</t>
  </si>
  <si>
    <t>Philips Amara Gel – a hűsítő kényelem és stabilitás záloga. Géltechnológiás orr-száj maszk, amely lágyan, mégis magabiztosan követi az arc vonalait.</t>
  </si>
  <si>
    <t>A Philips Amara Gel az Amara maszkcsalád prémium tagja, amely a Philips által kifejlesztett egyedülálló géltechnológiát ötvözi a már bizonyított, könnyű vázszerkezettel. Ezt a maszkot azoknak a pácienseknek tervezték, akik az orr-száj maszkok stabilitása mellett extra kényelemre és lágyabb érintkezésre vágynak. A kék gélpárna hűsítő érzete és rugalmassága segít abban, hogy a terápia még az érzékenyebb bőrű felhasználók számára is pihentető legyen.
Szakmai érv:
A maszk legfőbb előnye a technológiai modularitás és a gélpárna adaptív képessége. A gél anyag természetéből adódóan jobban idomul az egyéni arcformához, mint a hagyományos szilikon, így kiváló illeszkedést biztosít alacsonyabb szorítóerő mellett is. Az Amara univerzális vázrendszere lehetővé teszi, hogy ugyanabba a keretbe szilikon vagy gél párnát is illesszünk, így a páciens rugalmasan választhat a két komfortszint között. A „One-click” rendszernek köszönhetően a párna rögzítése és tisztítása rendkívül egyszerű, a finomhangolható homloktámasz pedig biztosítja a nyomás optimális elosztását az orrnyergen és a homlokon.
Főbb előn
- Géltechnológiás komfort: Puha, hűsítő és adaptív párna, amely minimalizálja az arcbőr irritációját.
  Univerzális váz: Teljes kompatibilitás a szilikon és gél párnákkal egyaránt (a keret azonos).
- Precíz homloktámasz-állítás: Finomhangolható dőlésszög a személyre szabott stabilitásért és a tehermentesített orrnyeregért.
- „One-click” kialakítás: Gyors és egyszerű szét- és összeszerelés a napi karbantartáshoz.
- Mágnesmentes rögzítés: Biztonsággal alkalmazható minden páciensnél, beültetett orvostechnikai eszközök (pl. pacemaker) mellett is.</t>
  </si>
  <si>
    <t>A Philips Amara orr-száj maszkot úgy tervezték, hogy a lehető legegyszerűbbé tegye az alvásterápiát. Ez az egyik legkisebb és legkönnyebb hagyományos orr-száj maszk a piacon, amely minimalista kialakításával csökkenti az arcra nehezedő terhelést és a bezártság érzetét. Letisztult formavilága és átlátható felépítése miatt a páciensek egyik kedvenc választása a mindennapi terápiához.
Szakmai érv:
Az Amara modularitása egyedülálló: a maszk váza teljesen kompatibilis mind a szilikon, mind a gél párnákkal, és azon belül bármelyik mérettel. így a felhasználó bármikor válthat a két komfortszint között a keret cseréje nélkül. A „One-click” rendszer lehetővé teszi, hogy a maszkpárna egyetlen kattintással rögzüljön a vázhoz, ami rendkívül egyszerűvé teszi a tisztítást és az összeszerelést. A rugalmas, több fokozatban állítható homloktámasz finomhangolást tesz lehetővé, így a tartóerő optimálisan osztható el, tehermentesítve az orrnyerget és biztosítva a szivárgásmentes illeszkedést.
Főbb előnyök:
- Egyszerű felépítés: Mindössze 4 alkatrészből áll, így a tisztítása és karbantartása pillanatok alatt elvégezhető.
- Modularitás: Rugalmasan variálható szilikon vagy gél párnákkal az egyéni igényeknek megfelelően.
- Állítható homloktámasz: Finomhangolható dőlésszög a személyre szabott stabilitásért.
- Könnyű súly: Kategóriájában az egyik legkönnyebb modell, ami növeli az éjszakai komfortérzetet.
- Mágnesmentes kialakítás: Korlátozás nélkül használható minden páciensnél, beültetett orvostechnikai eszközök mellett is.</t>
  </si>
  <si>
    <t>A Löwenstein Medical LENA orr-száj maszkja a megbízhatóság csúcsát képviseli, különösen magas terápiás nyomás (CPAP vagy BiPAP) esetén. Ezt a maszkot úgy tervezték, hogy még a jelentős nyomáskülönbségek mellett is stabil maradjon, elkerülve a kellemetlen szivárgást. A LENA ideális választás azoknak a pácienseknek, akiknek az alvásterápia során extra tartásra és robusztus kialakításra van szükségük a hatékony kezeléshez.
Szakmai érv:
A LENA technológiai alapja a dupla ajkú (double-lip) maszkpárna, amely a terápiás nyomást kihasználva egyfajta légpárnát képez az arc és a szilikon között. Ez a megoldás garantálja a kiváló illeszkedést anélkül, hogy erős szorításra vagy nyomáspontok kialakítására lenne szükség. Az egyénileg állítható homloktámasz és a széles felületű homlokpárna lehetővé teszi a tartóerő precíz elosztását, így tehermentesítve az érzékeny orrnyerget. A maszk vázába integrált oxigéncsatlakozó révén külön adapter nélkül, közvetlenül adagolható kiegészítő oxigén a terápia mellé. A csendes, diffúz kilégzőrendszer és a 360 fokos gömbcsukló biztosítja a páciens mozgásszabadságát és az alvótárs nyugalmát.
Főbb előnyök:
- Magas nyomásra optimalizálva: Akár 35 hPa nyomásérték mellett is megőrzi stabilitását és illeszkedését.
- Dupla ajkú maszkpárna: Innovatív kialakítás a szivárgásmentes és kényelmes illeszkedésért.
- Állítható homloktámasz: Személyre szabott beállítási lehetőség az optimális nyomáselosztás érdekében.
- Integrált oxigén-kapcsolat: Egyszerű és gyors csatlakozási lehetőség kiegészítő oxigénforráshoz.
- Mágnesmentes rögzítés: Biztonsággal alkalmazható minden páciensnél, beültetett orvostechnikai eszközök (pl. pacemaker) mellett is.</t>
  </si>
  <si>
    <t>A JOYCEone Full Face az alvásterápia egyik legpraktikusabb orr-száj maszkja, amely véget vet a bonyolult méretvételi eljárásoknak. Különleges tervezésének köszönhetően ez az „egyméretes” modell a legkülönfélébb arcformákhoz is automatikusan és magabiztosan illeszkedik. Ideális választás kezdő terápiás betegeknek, vagy azoknak, akik egy egyszerűen kezelhető, mégis professzionális megoldást keresnek a mindennapi használathoz.
Szakmai érv:
A JOYCEone Full Face lelke az önbeálló (self-adjusting) maszkpárna és a rugalmas homloktámasz-rendszer. Ezek az elemek dinamikusan követik az arc kontúrjait, így a pántok feszítésekor a maszk automatikusan megtalálja az optimális pozíciót és a szivárgásmentes illeszkedést. Az érintkezési pontokon alkalmazott SilkTec bevonat selymes tapintása minimalizálja a bőr irritációját, a csendes kilégzőrendszer pedig gondoskodik a zavartalan pihenésről. A maszk robusztus felépítése magas terápiás nyomás esetén is stabil marad, csökkentve az elmozdulás esélyét.
Főbb előnyök:
- Egyméretes koncepció (One Size): Nincs szükség méretvételre, a maszk szinte minden arcformához tökéletesen idomul.
- Automatikus illeszkedés: Intelligens párna- és homloktámasz-kialakítás a gyors és egyszerű beállításért.
- SilkTec kényelem: Selymesen puha felület védi az arcbőrt a nyomáspontoktól és a pirosságtól.
- Mágnesmentes rögzítés: Biztonsággal alkalmazható minden páciensnél, beültetett orvostechnikai eszközök (pl. pacemaker) mellett is.
- Hosszú élettartam: Strapabíró vázszerkezet és könnyen tisztítható, tartós alkatrészek.</t>
  </si>
  <si>
    <t>A JOYCEeasy next FF az egyik legsikeresebb orr-száj maszkunk továbbfejlesztett változata, amely a Löwenstein Medical évtizedes tapasztalatait ötvözi. A tervezők megőrizték a JOYCE-sorozatra jellemző rendkívüli stabilitást, miközben a maszk vázát könnyebbé és áramvonalasabbá tették. Ez a típus ideális választás azoknak a pácienseknek, akik a hagyományos, homloktámaszos kialakítású maszkokban bíznak, de elvárják a modern anyaghasználat nyújtotta extra kényelmet.
Szakmai érv:
A JOYCEeasy next FF legfőbb technológiai előnye a precízen, több fokozatban állítható homloktámasz, amely lehetővé teszi a maszk dőlésszögének személyre szabott beállítását. Ez a megoldás segít abban, hogy a tartóerő egyenletesen oszoljon el a homlok és az orrnyereg között, elkerülve a kellemetlen nyomáspontokat. A párna és a homloktámasz felülete is a speciális SilkTec bevonattal készült: ez a selymes tapintású réteg minimalizálja a szilikon és a bőr közötti súrlódást, így jelentősen csökkenti az irritáció és a bőrpír kialakulásának esélyét. A maszk gömbcsuklós csatlakozása és a csendes kilégzőrendszer zavartalan mozgásszabadságot és nyugodt éjszakát biztosít.
Főbb előnyök:
- Személyre szabott stabilitás: Állítható homloktámasz a tökéletes illeszkedésért és a tehermentesített orrnyeregért.
- SilkTec technológia: Bőrbarát, selymesen puha szilikon felület az érintkezési pontokon.
- Könnyített kialakítás: Erős tartás modernebb, kisebb súlyú vázszerkezettel.
- Intuitív kezelés: Színkódolt rögzítőkapcsok és egyszerűen tisztítható alkatrészek.
- Mágnesmentes rögzítés: Biztonsággal alkalmazható minden páciensnél, beültetett orvostechnikai eszközök (pl. pacemaker) mellett is.</t>
  </si>
  <si>
    <t>A JOYCEeasy Full Face orr-száj maszk a Löwenstein Medical egyik legmegbízhatóbb modellje, amely a robusztus felépítést ötvözi a modern kényelmi megoldásokkal. Kifejezetten olyan páciensek számára készült, akiknek fontos a maszk stabil tartása és a precíz állíthatóság. A maszk minden részlete a tartósságot és a könnyű kezelhetőséget szolgálja, miközben a különleges felületkezelés gondoskodik a bőr védelméről a hosszú éjszakák során is.
Szakmai érv:
A JOYCEeasy Full Face egyik kiemelkedő jellemzője a fokozatmentesen állítható homloktámasz. Ez a megoldás lehetővé teszi, hogy a felhasználó milliméter pontosan szabályozza a maszk dőlésszögét, így optimálisan osztható el a nyomás a homlokcsont és az orrnyereg között. A homloktámaszon és az orr-száj párnán egyaránt megtalálható a selymes tapintású SilkTec bevonat, amely drasztikusan csökkenti a szilikon és a bőr közötti súrlódást, megelőzve az irritációt és a bőrpírt. A maszk gömbcsuklós csatlakozása 360 fokos mozgásszabadságot biztosít, a színkódolt rögzítőkapcsok pedig segítik a gyors és hibamentes felhelyezést.
Főbb előnyök:
- Precíz homloktámasz-állítás: Személyre szabott nyomáselosztás a maximális kényelem és stabilitás érdekében.
- SilkTec technológia: Selymesen puha felület az érintkezési pontokon, amely védi az érzékeny arcbőrt.
- Kiváló illeszkedés: Robusztus kialakítás, amely magas terápiás nyomás mellett is szivárgásmentes és stabil marad.
- Intuitív rögzítés: Színkódolt kapcsok teszik egyszerűvé a napi használatot és a maszk felhelyezését.
- Csendes működés: Hatékony kilégzőrendszer, amely halkan és zavarmentesen vezeti el a távozó levegőt.</t>
  </si>
  <si>
    <t>A Löwenstein Medical CARA Full Face maszkja bizonyítja, hogy egy teljes orr-száj maszk is lehet könnyed és diszkrét. A Red Dot Design Award díjas CARA család tagjaként ez a modell is a „láthatatlan” kényelmet és a kiváló illeszkedést képviseli. Pehelykönnyű súlya és puha, az arc kontúrjaihoz simuló szilikon párnája révén segít csökkentett nyomásérzetet biztosítani az éjszaka folyamán. Ideális választás azoknak a pácienseknek, akik szájon át is lélegeznek alvás közben, de a kompakt kialakítású eszközöket preferálják.
Szakmai érv:
A CARA Full Face különlegessége a tökéletesített, rendkívül csendes és diffúz kilégzőrendszer, amely porlasztva vezeti el a levegőt, így elkerülhető a zavaró huzatérzet. A maszk innovatív, homloktámasz nélküli vázszerkezete az ergonomikus vonalvezetésnek köszönheti stabilitását: a pántok elhelyezkedése és a váz geometriája optimálisan osztja el a tartóerőt az arcon. Az extra puha szilikon párna felső része zárt kialakítású, ami célzottan akadályozza meg, hogy a levegő a páciens szeme felé áramoljon, miközben a 360 fokban elforduló gömbcsukló szabad mozgást enged.
Főbb előnyök:
- Kompakt és könnyű: Orr-száj maszk kategóriában kiemelkedően alacsony súly, amely mérsékli az arcra nehezedő terhelést.
- Intelligens vázszerkezet: Stabil tartást biztosít kevesebb érintkezési ponttal, szabadabb érzetet nyújtva a felhasználónak.
- Csendes és szórt légáramlás: Optimalizált kilégzőnyílások a nyugodt és csendes alvási környezetért.
- Bőrbarát fejpánt: OEKO-TEX minősítésű, lélegző anyagok az irritációmentes viseletért.
- Mágnesmentes kialakítás: Biztonsággal használható minden páciensnél, beleértve a beültetett orvostechnikai eszközzel rendelkezőket is.</t>
  </si>
  <si>
    <t xml:space="preserve">A Löwenstein JULIA az alvásterápia új generációját képviseli: kicsi, könnyű és fenntartható módon készül Németországban. Kialakításakor a "kevesebb több" elvét követték, így a maszk alig észrevehető az arcon, és teljesen szabad látómezőt biztosít. A fejpánt rögzítési pontjai és a maszkváz geometriája optimális nyomáselosztást biztosít az orrnyergen, így megelőzhető a bőrirritáció és a sebek kialakulása. A maszk stabil marad akkor is, ha a páciens éjszaka többször változtatja az alvási pozícióját A JULIA letisztult formavilága és az arcformához finoman idomuló maszkpárnája segít abban, hogy a terápia megkezdése zökkenőmentes és természetes élmény legyen. 
Szakmai érv: 
A JULIA technológiai alapját az innovatív, ergonómikus, 3D műanyagból készült fejpántváz adja, amely homloktámasz nélkül is stabil és elmozdulásmentes illeszkedést biztosít minden alvási pozícióban. A Löwenstein szabványoknak megfelelően a kilégzőrendszer halk és diffúz áramlást biztosít. Különlegessége a környezettudatos gyártás: a textilek festése során jelentősen kevesebb vizet (-90%) és energiát (-66%) használnak fel, a csomagolás pedig 80%-ban megújuló cukornádból készül. 
Főbb előnyök:
- Bizonyított kényelem: A CARA maszkoknál bevált, három méretben elérhető párnatechnológia. 
- Szabad kilátás: Homloktámasz nélküli design, ideális olvasáshoz és szemüvegeseknek. 
- Rendkívül csendes: Mindössze 18 dB(A) hangnyomásszint a békés éjszakákért. 
- Innovatív 3D váz: Rugalmas és ergonómikus rögzítés, amely megakadályozza a fejpánt megcsavarodását. 
- Fenntartható gyártás: Németországban készült, jelentősen csökkentett vegyszer- és vízfelhasználással. </t>
  </si>
  <si>
    <t>A Philips Pico az egyik legkisebb és legkönnyebb hagyományos orrmaszk a piacon. Tervezésekor a cél az volt, hogy a lehető legkevesebb érintkezési felületen biztosítson maximális stabilitást. Mivel nincs homloktámasza, a látómező teljesen szabad marad, így akadálytalanul olvashat vagy tévézhet elalvás előtt, és a szemüvegviselés sem jelent gondot.
A maszk mindössze néhány alkatrészből áll, így az összeszerelése és tisztítása rendkívül egyszerű. A puha szilikon párna és a vékonyított fejpánt gondoskodik a kényelemről az éjszaka folyamán, miközben a maszkváz stabilan tartja a párnát még aktívabb mozgás közben is.
Szakmai érv: A Pico nagyszerűsége az egyszerűségében rejlik. A „Tip-of-the-nose” koncepció lényege, hogy a maszk csak az orr legszükségesebb részét fedi le, így minimalizálva a bőrirritációt és a bezártság érzetét. Mivel nem tartalmaz mágneses alkatrészeket, korlátozás nélkül alkalmazható minden páciensnél, beleértve a beültetett orvostechnikai eszközzel (pl. pacemaker) rendelkezőket is.
Főbb előnyök:
- Pehelykönnyű kivitel: Alig érezhető az arcon.
- Szabad látótér: Nincs zavaró homloktámasz.
- Közgyógy támogatott: Széles körben elérhető és gazdaságos megoldás.
- Egyszerű használat: Mindössze két csat és máris kész az éjszakára.</t>
  </si>
  <si>
    <t>A Philips Pico az egyik legkisebb és legkönnyebb hagyományos orrmaszk a piacon. Tervezésekor a cél az volt, hogy a lehető legkevesebb érintkezési felületen biztosítson maximális stabilitást. Mivel nincs homloktámasza, a látómező teljesen szabad marad, így akadálytalanul olvashat vagy tévézhet elalvás előtt, és a szemüvegviselés sem jelent gondot.
A maszk mindössze néhány alkatrészből áll, így az összeszerelése és tisztítása rendkívül egyszerű. A puha szilikon párna és a vékonyított fejpánt gondoskodik a kényelemről az éjszaka folyamán, miközben a maszkváz stabilan tartja a párnát még aktívabb mozgás közben is.
Szakmai érv: A Pico nagyszerűsége az egyszerűségében rejlik. A „Tip-of-the-nose” koncepció lényege, hogy a maszk csak az orr legszükségesebb részét fedi le, így minimalizálva a bőrirritációt és a bezártság érzetét. Mivel nem tartalmaz mágneses alkatrészeket, korlátozás nélkül alkalmazható minden páciensnél, beleértve a beültetett orvostechnikai eszközzel (pl. pacemaker) rendelkezőket is.
Főbb előnyök:
- Pehelykönnyű kivitel: Alig érezhető az arcon.
- Szabad látótér: Nincs zavaró homloktámasz.
- Közgyógy támogatott: Széles körben elérhető és gazdaságos megoldás.
- Egyszerű használat: Mindössze 3 alkatrész, percek alatt tisztítható.</t>
  </si>
  <si>
    <t>A JOYCEone az alvásterápia „okos” maszkja: az egyetlen olyan modell, amelynél nem kell a méretvétellel bajlódni. Speciális kialakítása révén automatikusan idomul a legkülönfélébb arcformákhoz és méretekhez. Ideális választás kezdő terápiás betegeknek vagy azoknak, akik egyszerű, de megbízható megoldást keresnek szakértői segítség nélkül is.
Szakmai érv: A maszk lelke az automatikus beállítású (Self-adjusting) szilikon párna és a rugalmas homloktámasz-rugó. Ezek az elemek dinamikusan követik az arc vonalait és a mozgást, így mindig az optimális feszességet tartják fenn. Nincs szükség bonyolult pántbeállításokra, a maszk „megtalálja” a helyét az arcon.
Főbb előnyök:
- Egyméretes (One Size): Nincs hibázási lehetőség a méretválasztásnál.
- Gyors beállítás: Pillanatok alatt felhelyezhető és rögzíthető.
- SilkTec kényelem: Selymes tapintású szilikon felület.
- Közgyógy támogatott: Kiváló ár-érték arány és széleskörű elérhetőség.</t>
  </si>
  <si>
    <t>A német Löwenstein Medical CARA orrmaszkja a modern dizájn és a kiemelkedő betegkomfort találkozása. Kifejlesztésekor a cél a tökéletes illeszkedés, a csendes működés és a bőrbarát kivitel volt. A maszk pehelykönnyű, puha és hajlékony szerkezete, valamint az állítható fejpántja révén szinte észrevétlen marad az éjszaka folyamán, így ideális megoldást kínál szinte minden felhasználó számára. A CARA maszk-család kiváló minőségét a 2018-as nemzetközi Focus Open dizájn-díj is visszaigazolja.
Szakmai érv:
A CARA különlegessége a tökéletesített, diffúz kilégzőrendszer: a könyöknél elhelyezkedő barázdált nyílások porlasztva engedik ki a felesleges levegőt, ami így nem kelt huzatérzetet, és nem zavarja sem a beteget, sem az alvótársát. A könyökidom felső része zárt, ami megakadályozza a levegő szem felé áramlását. A maszk puha és ruganyos párnája homloktámasz nélkül is követi az arc kontúrját, így csökkentve a nyomáspontok kialakulását. A fejpánt bőrbarát textíliája OEKO-TEX STANDARD 100 minősítéssel rendelkezik, garantálva az irritációmentes viselést.
Főbb előnyök:
- Szuperkönnyű kivitel: Mindössze 58–60 gramm, alig érezhető az arcon.
- XS méretben is elérhető: Kifejezetten alkalmas a nagyon kisméretű arcformákhoz is.
- Csendes technológia: Továbbfejlesztett kilégzőrendszer a zavartalan alvásért.
- Prémium anyaghasználat: Nagyon tartós váz és OEKO-TEX minősítésű textil.
- Rugalmas méretezés: L-es méretű fejpánt külön is rendelhető a maximális testreszabhatóságért.</t>
  </si>
  <si>
    <t>Philips Amara View – a legkisebb és legdiszkrétebb hagyományos orr-száj maszk. Orr alatti (under-the-nose) kialakítás, amely teljesen szabad látóteret biztosít és megelőzi az orrnyereg irritációját.</t>
  </si>
  <si>
    <r>
      <t xml:space="preserve">Az Amara View forradalmasítja az orr-száj maszkok viselését: ez a piacon elérhető egyik legkisebb és legkönnyebb modell, amely egyáltalán nem érintkezik az orrnyereggel. Az innovatív „orr alatti” (under-the-nose) technológiának köszönhetően a maszkpárna az orrnyílások alatt tömít, így teljesen megszűnik a szem környéki nyomás és a látómező korlátozottsága. Tökéletes választás azoknak, akik szemüveget viselnek, olvasni vagy tévézni szeretnének elalvás előtt, mivel a maszk az arc jelentős részét szabadon hagyja.
Szakmai érv:
Az Amara View különlegessége az integrált orrnyílás-kialakításban rejlik: a maszkpárna alulról támaszkodik az orrnak, így nem dörzsöli az orrnyerget, ami az orr-száj maszkoknál a leggyakoribb panaszforrás. A váz és a párna rendkívül stabilan tart, köszönhetően a négypontos fejpánt-rögzítésnek és az elöl elhelyezkedő, 360 fokban elforduló könyökidomnak. Mivel nincsenek az arc előtt zavaró vázelemek vagy homloktámasz, a páciens nem érzi magát bezárva, ami jelentősen javítja a terápiás hajlandóságot és a komfortérzetet.
Főbb előnyök:
- Orr alatti (under-the-nose) kialakítás: Megszünteti az orrnyereg irritációját és a nyomáspontok kialakulását.
- Teljesen szabad látótér: Nincs keret az orr előtt vagy a homlokon, így zavartalanul lehet szemüveget viselni vagy olvasni.
- Kompakt és könnyű: Minimalista felépítés, amely alig észrevehető az arcon és csökkenti a bezártság érzetét.
- Egyszerű kezelhetőség: Egyetlen univerzális keret, amelyhez három különböző méretű párna (S, M, L) választható.
- Mágneses rögzítőkapcsok: Gyors és egyszerű felhelyezést tesznek lehetővé, megkönnyítve a napi rutint. </t>
    </r>
    <r>
      <rPr>
        <b/>
        <sz val="11"/>
        <color theme="1"/>
        <rFont val="Calibri"/>
        <family val="2"/>
        <charset val="238"/>
        <scheme val="minor"/>
      </rPr>
      <t>FONTOS</t>
    </r>
    <r>
      <rPr>
        <sz val="11"/>
        <color theme="1"/>
        <rFont val="Calibri"/>
        <family val="2"/>
        <charset val="238"/>
        <scheme val="minor"/>
      </rPr>
      <t>: A mágneses záródás miatt pacemakerrel vagy egyéb mágnesre érzékeny orvosi implantátummal rendelkezők számára a maszk használata előtt orvosi konzultáció szükséges!</t>
    </r>
  </si>
  <si>
    <t>Philips DreamWear Full Face – a mozgás szabadsága kompromisszumok nélkül. Orr alatti kialakítás és fejtetőn elhelyezett csőcsatlakozás a legtermészetesebb alvásélményért.</t>
  </si>
  <si>
    <r>
      <t xml:space="preserve">A DreamWear Full Face az orr-száj maszkok új generációját képviseli, amely egyesíti a teljes arcmaszkok biztonságát az orrillesztékes maszkok szabadságával. Egyedülálló, puha szilikon váza a levegőt a kereten keresztül vezeti a maszkpárnához, így a gégecső nem az arc előtt, hanem a fejtetőn csatlakozik. Ez a forradalmi kialakítás lehetővé teszi, hogy a páciens bármilyen pozícióban – akár hason vagy oldalt is – kényelmesen aludjon, miközben az orr alatti párna védi az orrnyerget az irritációtól.
Szakmai érv:
A DreamWear Full Face legfőbb technológiai előnye a fejtetőn elhelyezett csőcsatlakozás és az üreges vázszerkezet. Ez a megoldás távol tartja a csövet az arctól, minimálisra csökkentve a gégecső húzóerejéből adódó elmozdulásokat. Az „under-the-nose” párna az orrnyílások alatt és a száj körül tömít, így homloktámasz és orrnyereg-érintkezés nélkül is stabil marad magas nyomás mellett is. A maszk rendkívül kevés érintkezési ponttal rendelkezik, ami drasztikusan csökkenti a bőrirritáció és a klausztrofóbiás érzés esélyét.
Főbb előnyök:
- Fejtetőn elhelyezett csatlakozás: Maximális mozgásszabadság, a cső nem zavarja az alvást és nem lóg az arc előtt.
- Orr alatti (under-the-nose) párna: Megakadályozza a pirosságot és a sebek kialakulását az orrnyergen.
- Innovatív légvezető váz: Puha, bőrbarát szilikon keret, amelyen keresztül áramlik a levegő.
- Mágneses rögzítőkapcsok: Egyszerű és stabil rögzítés, amely megkönnyíti a napi használatot. </t>
    </r>
    <r>
      <rPr>
        <b/>
        <sz val="11"/>
        <color theme="1"/>
        <rFont val="Calibri"/>
        <family val="2"/>
        <charset val="238"/>
        <scheme val="minor"/>
      </rPr>
      <t>FIGYELEM</t>
    </r>
    <r>
      <rPr>
        <sz val="11"/>
        <color theme="1"/>
        <rFont val="Calibri"/>
        <family val="2"/>
        <charset val="238"/>
        <scheme val="minor"/>
      </rPr>
      <t>: A rögzítőkapcsok mágneseket tartalmaznak, amelyek befolyásolhatják a pacemakerek vagy egyéb beültetett eszközök működését! Használat előtt kérje ki kezelőorvosa véleményét.</t>
    </r>
  </si>
  <si>
    <t>DreamWear Full (MW - medium-wide)</t>
  </si>
  <si>
    <t>Közepes (MED) vázzal: 179,3 ml</t>
  </si>
  <si>
    <t>Közepes (MED) vázzal: 185,7 ml</t>
  </si>
  <si>
    <t>Közepes (MED) vázzal: 204,3 ml</t>
  </si>
  <si>
    <t>Közepes (MED) vázzal: 188,2 ml</t>
  </si>
  <si>
    <t>150,4 ml</t>
  </si>
  <si>
    <t>148,8 ml</t>
  </si>
  <si>
    <t>167,8 ml</t>
  </si>
  <si>
    <t>1090697; 1090692; 1090693; 1090694</t>
  </si>
  <si>
    <t>Amara View fejpánt, szilikonok (S, M, L)</t>
  </si>
  <si>
    <t>1133450; 1133430; 1133431; 1133432; 1133433; 1116744; 1116745; 1116747; 1116748; 1133454</t>
  </si>
  <si>
    <t>DreamWear FF fejpánt, szilikonok (S, M, L, MW), DW váz (Med, S/M, L), kilégző adapter, mágneses csat a fejpánthoz</t>
  </si>
  <si>
    <t>JOYCESILKGEL-FULLFACEMASZK-KIFUTÓ MODELL</t>
  </si>
  <si>
    <t>WM 25109; WM 25119; WM 25129; WM 25630; WM 25640; WM 25650; WM 25680</t>
  </si>
  <si>
    <t>J.Easy Next FF (S, M, L), Cara FF (S, M, L, XL)</t>
  </si>
  <si>
    <t>maszkváz, a kiválasztott méretű maszkpárna (KIZÁRÓLAG S-ES MÉRETBEN), fejpánt, használati útmutató</t>
  </si>
  <si>
    <t>MW</t>
  </si>
  <si>
    <t>4.1.1.</t>
  </si>
  <si>
    <t>Löwenstein szűrők (Prisma család, Somnobalance)</t>
  </si>
  <si>
    <t>Philips szűrők (Dreamstation 1-2, Remstar sorozat)</t>
  </si>
  <si>
    <t>AeonMed szűrők (AS100)</t>
  </si>
  <si>
    <t>4.1.4.</t>
  </si>
  <si>
    <t>4.1.2.</t>
  </si>
  <si>
    <t>4.1.3.</t>
  </si>
  <si>
    <t>BAKTÉRIUMSZŰRŐ</t>
  </si>
  <si>
    <t>Univerzális baktérium- és vírusszűrő CPAP/BiLevel készülékekhez. Maximális higiénia és extra védelem a légúti fertőzések ellen.</t>
  </si>
  <si>
    <t>22 mm csatl.</t>
  </si>
  <si>
    <t>PRISMA SZIVACSSZŰRŐ</t>
  </si>
  <si>
    <t>PRISMA POLLENSZŰRŐ</t>
  </si>
  <si>
    <t>AS SZIVACSSZŰRŐ</t>
  </si>
  <si>
    <t>SOMNOBALANCE SZIVACSSZŰRŐ</t>
  </si>
  <si>
    <t>SOMNOBALANCE POLLENSZŰRŐ</t>
  </si>
  <si>
    <t>REMSTAR SZIVACSSZŰRŐ</t>
  </si>
  <si>
    <t>REMSTAR POLLENSZŰRŐ</t>
  </si>
  <si>
    <t>AS POLLENSZŰRŐ</t>
  </si>
  <si>
    <t>AS BAKTÉRIUMSZŰRŐ</t>
  </si>
  <si>
    <t>ORRPÁRNA CARA</t>
  </si>
  <si>
    <t>MASZKPÁRNA JOYCEEASY</t>
  </si>
  <si>
    <t>SILKGEL JOYCE</t>
  </si>
  <si>
    <t>GEL DREAMWEAR</t>
  </si>
  <si>
    <t>SZILIKON DREAMWEAR</t>
  </si>
  <si>
    <t>PED WISP</t>
  </si>
  <si>
    <t>CUSHION DREAMWISP</t>
  </si>
  <si>
    <t>MASZKPÁRNA LENA</t>
  </si>
  <si>
    <t>MASZKPÁRNA AMARA</t>
  </si>
  <si>
    <t>VIEW AMARA</t>
  </si>
  <si>
    <t>FULL DREAMWEAR</t>
  </si>
  <si>
    <t>FEJPÁNT CARA</t>
  </si>
  <si>
    <t>FEJPÁNT JOYCEEASY</t>
  </si>
  <si>
    <t>FEJPÁNT JOYCEONE</t>
  </si>
  <si>
    <t>PRÉMIUM ÁLLPÁNT</t>
  </si>
  <si>
    <t>FEJPÁNT AMARA</t>
  </si>
  <si>
    <t>FEJPÁNT DREAMWEAR</t>
  </si>
  <si>
    <t>MASZK DREAMWEAR</t>
  </si>
  <si>
    <t>VÁZBORÍTÁS DREAMWEAR</t>
  </si>
  <si>
    <t>KILÉGZŐ DREAMWEAR</t>
  </si>
  <si>
    <t>FEJPÁNT NUANCE</t>
  </si>
  <si>
    <t>FEJPÁNT PICO</t>
  </si>
  <si>
    <t>FEJPÁNT PRÉMIUM</t>
  </si>
  <si>
    <t>FEJPÁNT WISP</t>
  </si>
  <si>
    <t>VÁZ WISP</t>
  </si>
  <si>
    <t>FABRIC NUANCE</t>
  </si>
  <si>
    <t>FEJPÁNT LENA</t>
  </si>
  <si>
    <t>HUZAT GÉGECSŐ</t>
  </si>
  <si>
    <t>SOMNOBALANCE GÉGECSŐ</t>
  </si>
  <si>
    <t>TARTÓS GÉGECSŐ</t>
  </si>
  <si>
    <t>CSŐ TARTÓS</t>
  </si>
  <si>
    <t>MASZKCSŐ WISP</t>
  </si>
  <si>
    <t>FŰTHETŐ PRISMAHYBERNITE</t>
  </si>
  <si>
    <t>ONE SYSTEM</t>
  </si>
  <si>
    <t>VÍZKAMRA PRISMAAQUA</t>
  </si>
  <si>
    <t>DC PRISMA</t>
  </si>
  <si>
    <t>A PRISMA</t>
  </si>
  <si>
    <t>TÁPEGYSÉG SOMNOBALANCE</t>
  </si>
  <si>
    <t>OS 12V</t>
  </si>
  <si>
    <t>AS ADAPTER</t>
  </si>
  <si>
    <t>KÁBEL CSATLAKOZÓ</t>
  </si>
  <si>
    <t>SUPPLY POWER</t>
  </si>
  <si>
    <t>ORRSPRAY REVENTIL</t>
  </si>
  <si>
    <t>SD SOMNO</t>
  </si>
  <si>
    <t>MEMÓRIA SD</t>
  </si>
  <si>
    <t>OS 1001956 12 V</t>
  </si>
  <si>
    <t>OS 109756812 V</t>
  </si>
  <si>
    <t>OS 1120746 12 V</t>
  </si>
  <si>
    <t>KNOB UI</t>
  </si>
  <si>
    <t>A „EBBEN</t>
  </si>
  <si>
    <t>ELITE LITEBOOK</t>
  </si>
  <si>
    <t>PRISMAW_W POLLENSZŰRŐ</t>
  </si>
  <si>
    <t>Löwenstein Prisma szivacs porszűrő – a készülék motorjának alapvető védelmére. Mosható, többször használatos, szürke szivacs szűrő.</t>
  </si>
  <si>
    <t>Löwenstein Prisma pollenszűrő (fehér színű, textil porszűrő) – extra tisztaság allergiásoknak. Kiszűri a mikroszkopikus port, virágport és spórákat. A szivacsszűrőt kiegészítve, azzal együtt használatos.</t>
  </si>
  <si>
    <r>
      <t xml:space="preserve">•	</t>
    </r>
    <r>
      <rPr>
        <b/>
        <sz val="11"/>
        <color theme="1"/>
        <rFont val="Calibri"/>
        <family val="2"/>
        <charset val="238"/>
        <scheme val="minor"/>
      </rPr>
      <t>Funkció:</t>
    </r>
    <r>
      <rPr>
        <sz val="11"/>
        <color theme="1"/>
        <rFont val="Calibri"/>
        <family val="2"/>
        <charset val="238"/>
        <scheme val="minor"/>
      </rPr>
      <t xml:space="preserve"> A fehér, sűrű szövésű finomporszűrő (pollenszűrő) a maximális levegőtisztaságot szolgálja. Kiszűri a mikroszkopikus szennyeződéseket (pollenek, spórák, finom porszemcsék), Használata kiemelten ajánlott légúti allergiában szenvedőknek. 
•	</t>
    </r>
    <r>
      <rPr>
        <b/>
        <sz val="11"/>
        <color theme="1"/>
        <rFont val="Calibri"/>
        <family val="2"/>
        <charset val="238"/>
        <scheme val="minor"/>
      </rPr>
      <t>Használat:</t>
    </r>
    <r>
      <rPr>
        <sz val="11"/>
        <color theme="1"/>
        <rFont val="Calibri"/>
        <family val="2"/>
        <charset val="238"/>
        <scheme val="minor"/>
      </rPr>
      <t xml:space="preserve"> A szürke szivacs szűrővel együtt használandó: a pollenszűrő kerül belülre (alulra), és a szürke szivacs fedi le kívülről.
•	</t>
    </r>
    <r>
      <rPr>
        <b/>
        <sz val="11"/>
        <color theme="1"/>
        <rFont val="Calibri"/>
        <family val="2"/>
        <charset val="238"/>
        <scheme val="minor"/>
      </rPr>
      <t>Tisztítás:</t>
    </r>
    <r>
      <rPr>
        <sz val="11"/>
        <color theme="1"/>
        <rFont val="Calibri"/>
        <family val="2"/>
        <charset val="238"/>
        <scheme val="minor"/>
      </rPr>
      <t xml:space="preserve"> Ez a szűrő </t>
    </r>
    <r>
      <rPr>
        <b/>
        <sz val="11"/>
        <color theme="1"/>
        <rFont val="Calibri"/>
        <family val="2"/>
        <charset val="238"/>
        <scheme val="minor"/>
      </rPr>
      <t>NEM mosható</t>
    </r>
    <r>
      <rPr>
        <sz val="11"/>
        <color theme="1"/>
        <rFont val="Calibri"/>
        <family val="2"/>
        <charset val="238"/>
        <scheme val="minor"/>
      </rPr>
      <t xml:space="preserve">! Vízzel érintkezve a rostok összeállnak és elzárják a levegő útját. Az elhasználódott pollenszűrőt el kell dobni.
•	</t>
    </r>
    <r>
      <rPr>
        <b/>
        <sz val="11"/>
        <color theme="1"/>
        <rFont val="Calibri"/>
        <family val="2"/>
        <charset val="238"/>
        <scheme val="minor"/>
      </rPr>
      <t>Csereperiódus:</t>
    </r>
    <r>
      <rPr>
        <sz val="11"/>
        <color theme="1"/>
        <rFont val="Calibri"/>
        <family val="2"/>
        <charset val="238"/>
        <scheme val="minor"/>
      </rPr>
      <t xml:space="preserve"> Havonta (vagy elszürkülés esetén azonnal) cserélendő.
•	</t>
    </r>
    <r>
      <rPr>
        <b/>
        <sz val="11"/>
        <color theme="1"/>
        <rFont val="Calibri"/>
        <family val="2"/>
        <charset val="238"/>
        <scheme val="minor"/>
      </rPr>
      <t xml:space="preserve">Kompatibilitás: </t>
    </r>
    <r>
      <rPr>
        <sz val="11"/>
        <color theme="1"/>
        <rFont val="Calibri"/>
        <family val="2"/>
        <charset val="238"/>
        <scheme val="minor"/>
      </rPr>
      <t xml:space="preserve">Löwenstein Prisma sorozat (Smart, Smart Plus, 20A, 25S, 30ST és CR) CPAP és BiPAP készülékei
•	</t>
    </r>
  </si>
  <si>
    <r>
      <t xml:space="preserve">•	</t>
    </r>
    <r>
      <rPr>
        <b/>
        <sz val="11"/>
        <color theme="1"/>
        <rFont val="Calibri"/>
        <family val="2"/>
        <charset val="238"/>
        <scheme val="minor"/>
      </rPr>
      <t>Funkció:</t>
    </r>
    <r>
      <rPr>
        <sz val="11"/>
        <color theme="1"/>
        <rFont val="Calibri"/>
        <family val="2"/>
        <charset val="238"/>
        <scheme val="minor"/>
      </rPr>
      <t xml:space="preserve"> A sötétszürke szivacs szűrő használata kötelező, a készülék motorjának alapvető védelmét szolgálja a nagyobb szennyeződések (szöszök, nagyobb porszemcsék) ellen. Megléte elengedhetetlen a készülék élettartamának megőrzése és a meghibásodások elkerülése érdekében.
•	</t>
    </r>
    <r>
      <rPr>
        <b/>
        <sz val="11"/>
        <color theme="1"/>
        <rFont val="Calibri"/>
        <family val="2"/>
        <charset val="238"/>
        <scheme val="minor"/>
      </rPr>
      <t>Használat:</t>
    </r>
    <r>
      <rPr>
        <sz val="11"/>
        <color theme="1"/>
        <rFont val="Calibri"/>
        <family val="2"/>
        <charset val="238"/>
        <scheme val="minor"/>
      </rPr>
      <t xml:space="preserve">  A készülék hátoldalán található a szűrőnek kialakított rés. A szivacs szűrő </t>
    </r>
    <r>
      <rPr>
        <b/>
        <sz val="11"/>
        <color theme="1"/>
        <rFont val="Calibri"/>
        <family val="2"/>
        <charset val="238"/>
        <scheme val="minor"/>
      </rPr>
      <t>mosható</t>
    </r>
    <r>
      <rPr>
        <sz val="11"/>
        <color theme="1"/>
        <rFont val="Calibri"/>
        <family val="2"/>
        <charset val="238"/>
        <scheme val="minor"/>
      </rPr>
      <t xml:space="preserve"> és többször felhasználható.
•	</t>
    </r>
    <r>
      <rPr>
        <b/>
        <sz val="11"/>
        <color theme="1"/>
        <rFont val="Calibri"/>
        <family val="2"/>
        <charset val="238"/>
        <scheme val="minor"/>
      </rPr>
      <t>Tisztítás:</t>
    </r>
    <r>
      <rPr>
        <sz val="11"/>
        <color theme="1"/>
        <rFont val="Calibri"/>
        <family val="2"/>
        <charset val="238"/>
        <scheme val="minor"/>
      </rPr>
      <t xml:space="preserve"> Javasoljuk, hogy kéthetente öblítse ki langyos, enyhén szappanos vízzel. </t>
    </r>
    <r>
      <rPr>
        <b/>
        <sz val="11"/>
        <color theme="1"/>
        <rFont val="Calibri"/>
        <family val="2"/>
        <charset val="238"/>
        <scheme val="minor"/>
      </rPr>
      <t>FONTOS:</t>
    </r>
    <r>
      <rPr>
        <sz val="11"/>
        <color theme="1"/>
        <rFont val="Calibri"/>
        <family val="2"/>
        <charset val="238"/>
        <scheme val="minor"/>
      </rPr>
      <t xml:space="preserve"> Csak teljesen száraz állapotban helyezze vissza a szűrőház legkülső részébe!
•	</t>
    </r>
    <r>
      <rPr>
        <b/>
        <sz val="11"/>
        <color theme="1"/>
        <rFont val="Calibri"/>
        <family val="2"/>
        <charset val="238"/>
        <scheme val="minor"/>
      </rPr>
      <t>Csereperiódus:</t>
    </r>
    <r>
      <rPr>
        <sz val="11"/>
        <color theme="1"/>
        <rFont val="Calibri"/>
        <family val="2"/>
        <charset val="238"/>
        <scheme val="minor"/>
      </rPr>
      <t xml:space="preserve"> Higiéniai és műszaki okokból (az anyag elfáradása miatt) 6 havonta javasolt a cseréje.
•	</t>
    </r>
    <r>
      <rPr>
        <b/>
        <sz val="11"/>
        <color theme="1"/>
        <rFont val="Calibri"/>
        <family val="2"/>
        <charset val="238"/>
        <scheme val="minor"/>
      </rPr>
      <t>Kompatibilitás:</t>
    </r>
    <r>
      <rPr>
        <sz val="11"/>
        <color theme="1"/>
        <rFont val="Calibri"/>
        <family val="2"/>
        <charset val="238"/>
        <scheme val="minor"/>
      </rPr>
      <t xml:space="preserve"> Löwenstein Prisma sorozat (Smart, Smart Plus, 20A, 25S, 30ST és CR) CPAP és BiPAP készülékei</t>
    </r>
  </si>
  <si>
    <t>Löwenstein (korábban Weinmann) Somnobalance szivacs porszűrő - Mosható, többször használatos sötétszürke porszűrő Somnobalance készülékhez. (A készülék már nem kapható, de a szűrőellátás biztosított)</t>
  </si>
  <si>
    <t>Löwenstein (korábban Weinmann) Somnobalance pollenszűrő - Egyszer használatos fehér finomszűrő Somnobalance készülékekhez allergiásoknak.</t>
  </si>
  <si>
    <t>Philips Dreamstation 1 szivacsszűrő - Kék műanyag keretes, mosható szivacs szűrő, a DreamStation 1 (fehér/szürke) készülék kötelező tartozéka.</t>
  </si>
  <si>
    <t>Philips Dreamstation 1 pollenszűrő - Eldobható fehér pollenszűrő a legmagasabb szintű levegőtisztaságért, pollenallergiásoknak.</t>
  </si>
  <si>
    <r>
      <rPr>
        <b/>
        <sz val="11"/>
        <color theme="1"/>
        <rFont val="Calibri"/>
        <family val="2"/>
        <charset val="238"/>
        <scheme val="minor"/>
      </rPr>
      <t xml:space="preserve">•  Funkció: </t>
    </r>
    <r>
      <rPr>
        <sz val="11"/>
        <color theme="1"/>
        <rFont val="Calibri"/>
        <family val="2"/>
        <charset val="238"/>
        <scheme val="minor"/>
      </rPr>
      <t xml:space="preserve">A kötelezően használatos szivacsszűrő hatékony gátat képez a szoba levegőjében lévő nagyobb szennyeződések és porcicák ellen.
</t>
    </r>
    <r>
      <rPr>
        <b/>
        <sz val="11"/>
        <color theme="1"/>
        <rFont val="Calibri"/>
        <family val="2"/>
        <charset val="238"/>
        <scheme val="minor"/>
      </rPr>
      <t>•  Használat:</t>
    </r>
    <r>
      <rPr>
        <sz val="11"/>
        <color theme="1"/>
        <rFont val="Calibri"/>
        <family val="2"/>
        <charset val="238"/>
        <scheme val="minor"/>
      </rPr>
      <t xml:space="preserve"> A készülék hátoldalán lévő nyílásba, a külső pozícióba kell behelyezni.
</t>
    </r>
    <r>
      <rPr>
        <b/>
        <sz val="11"/>
        <color theme="1"/>
        <rFont val="Calibri"/>
        <family val="2"/>
        <charset val="238"/>
        <scheme val="minor"/>
      </rPr>
      <t>•  Tisztítás:</t>
    </r>
    <r>
      <rPr>
        <sz val="11"/>
        <color theme="1"/>
        <rFont val="Calibri"/>
        <family val="2"/>
        <charset val="238"/>
        <scheme val="minor"/>
      </rPr>
      <t xml:space="preserve"> A szivacsszűrő </t>
    </r>
    <r>
      <rPr>
        <b/>
        <sz val="11"/>
        <color theme="1"/>
        <rFont val="Calibri"/>
        <family val="2"/>
        <charset val="238"/>
        <scheme val="minor"/>
      </rPr>
      <t>mosható</t>
    </r>
    <r>
      <rPr>
        <sz val="11"/>
        <color theme="1"/>
        <rFont val="Calibri"/>
        <family val="2"/>
        <charset val="238"/>
        <scheme val="minor"/>
      </rPr>
      <t xml:space="preserve">. Kéthetente langyos folyó vízzel tisztítandó. Csak szárazon használható újra.
</t>
    </r>
    <r>
      <rPr>
        <b/>
        <sz val="11"/>
        <color theme="1"/>
        <rFont val="Calibri"/>
        <family val="2"/>
        <charset val="238"/>
        <scheme val="minor"/>
      </rPr>
      <t>•  Csereperiódus:</t>
    </r>
    <r>
      <rPr>
        <sz val="11"/>
        <color theme="1"/>
        <rFont val="Calibri"/>
        <family val="2"/>
        <charset val="238"/>
        <scheme val="minor"/>
      </rPr>
      <t xml:space="preserve"> 6 havonta javasolt az új szűrő beszerzése.
</t>
    </r>
    <r>
      <rPr>
        <b/>
        <sz val="11"/>
        <color theme="1"/>
        <rFont val="Calibri"/>
        <family val="2"/>
        <charset val="238"/>
        <scheme val="minor"/>
      </rPr>
      <t>•  Kompatibilitás:</t>
    </r>
    <r>
      <rPr>
        <sz val="11"/>
        <color theme="1"/>
        <rFont val="Calibri"/>
        <family val="2"/>
        <charset val="238"/>
        <scheme val="minor"/>
      </rPr>
      <t xml:space="preserve"> Philips REMstar és System One sorozatú készülékek.
</t>
    </r>
    <r>
      <rPr>
        <b/>
        <sz val="11"/>
        <color theme="1"/>
        <rFont val="Calibri"/>
        <family val="2"/>
        <charset val="238"/>
        <scheme val="minor"/>
      </rPr>
      <t xml:space="preserve">•  SZAKMAI FIGYELMEZTETÉS: </t>
    </r>
    <r>
      <rPr>
        <sz val="11"/>
        <color theme="1"/>
        <rFont val="Calibri"/>
        <family val="2"/>
        <charset val="238"/>
        <scheme val="minor"/>
      </rPr>
      <t>A Philips REMstar és System One készülékek mára technológiai szempontból koros modellnek számítanak. Bár a szűrőellátás továbbra is biztosított, az esetleges szervizelés és alkatrészellátás már nem garantálható. Javasoljuk, hogy fontolja meg készüléke frissítését modern, halkabb és hatékonyabb terápiát nyújtó modelljeinkre (pl. Löwenstein Prisma vagy DreamStation 2). Konzultáljon alvásszakértő orvosával az új generációs készülékek előnyeiről!</t>
    </r>
  </si>
  <si>
    <t>Philips REMstar / System One szivacsszűrő - Tartós, mosható szürke porszűrő a régi, sötétszürke "kocka" alakú Philips készülékek alapvető védelmére. (A készülék már nem kapható, de a szűrőellátás biztosított)</t>
  </si>
  <si>
    <t>Philips REMstar / System One pollenszűrő - Fehér finomszűrő a legkisebb allergének megállítására, régi, sötétszürke "kocka" alakú Philips REMstar készülékekhez.</t>
  </si>
  <si>
    <t>AeonMed AS100A pollenszűrő - Speciális fehér pollenszűrő az Aeonmed AS100A készülék tiszta működéséhez.</t>
  </si>
  <si>
    <t>Philips Dreamstation 2 szivacsszűrő - Új generációs mosható szivacs szűrő a DreamStation 2 készülékek motorjának védelmére.</t>
  </si>
  <si>
    <r>
      <rPr>
        <b/>
        <sz val="11"/>
        <color theme="1"/>
        <rFont val="Calibri"/>
        <family val="2"/>
        <charset val="238"/>
        <scheme val="minor"/>
      </rPr>
      <t xml:space="preserve">•	 Funkció: </t>
    </r>
    <r>
      <rPr>
        <sz val="11"/>
        <color theme="1"/>
        <rFont val="Calibri"/>
        <family val="2"/>
        <charset val="238"/>
        <scheme val="minor"/>
      </rPr>
      <t xml:space="preserve">A gép motorjának alapvető védelmét látja el, a készülék kötelező tartozéka. Megállítja a levegőben szálló durva port és szöszöket, biztosítva a készülék hosszú élettartamát.
</t>
    </r>
    <r>
      <rPr>
        <b/>
        <sz val="11"/>
        <color theme="1"/>
        <rFont val="Calibri"/>
        <family val="2"/>
        <charset val="238"/>
        <scheme val="minor"/>
      </rPr>
      <t xml:space="preserve">•	 Használat: </t>
    </r>
    <r>
      <rPr>
        <sz val="11"/>
        <color theme="1"/>
        <rFont val="Calibri"/>
        <family val="2"/>
        <charset val="238"/>
        <scheme val="minor"/>
      </rPr>
      <t xml:space="preserve">A készülék szűrőházának külső felébe kell illeszteni. A DS2 kompakt kialakítása miatt a szűrő precízen illeszkedik a gép profiljához.
</t>
    </r>
    <r>
      <rPr>
        <b/>
        <sz val="11"/>
        <color theme="1"/>
        <rFont val="Calibri"/>
        <family val="2"/>
        <charset val="238"/>
        <scheme val="minor"/>
      </rPr>
      <t xml:space="preserve">•	 Tisztítás: </t>
    </r>
    <r>
      <rPr>
        <sz val="11"/>
        <color theme="1"/>
        <rFont val="Calibri"/>
        <family val="2"/>
        <charset val="238"/>
        <scheme val="minor"/>
      </rPr>
      <t xml:space="preserve">A szivacsszűrő </t>
    </r>
    <r>
      <rPr>
        <b/>
        <sz val="11"/>
        <color theme="1"/>
        <rFont val="Calibri"/>
        <family val="2"/>
        <charset val="238"/>
        <scheme val="minor"/>
      </rPr>
      <t>mosható</t>
    </r>
    <r>
      <rPr>
        <sz val="11"/>
        <color theme="1"/>
        <rFont val="Calibri"/>
        <family val="2"/>
        <charset val="238"/>
        <scheme val="minor"/>
      </rPr>
      <t xml:space="preserve">. Javasoljuk, hogy kéthetente öblítse ki langyos vízzel. FONTOS: Visszahelyezés előtt hagyja a szivacsot teljesen megszáradni!
</t>
    </r>
    <r>
      <rPr>
        <b/>
        <sz val="11"/>
        <color theme="1"/>
        <rFont val="Calibri"/>
        <family val="2"/>
        <charset val="238"/>
        <scheme val="minor"/>
      </rPr>
      <t xml:space="preserve">•	 Csereperiódus: </t>
    </r>
    <r>
      <rPr>
        <sz val="11"/>
        <color theme="1"/>
        <rFont val="Calibri"/>
        <family val="2"/>
        <charset val="238"/>
        <scheme val="minor"/>
      </rPr>
      <t xml:space="preserve">6 havonta javasolt a cseréje egy új egységre.
</t>
    </r>
    <r>
      <rPr>
        <b/>
        <sz val="11"/>
        <color theme="1"/>
        <rFont val="Calibri"/>
        <family val="2"/>
        <charset val="238"/>
        <scheme val="minor"/>
      </rPr>
      <t>•	 Kompatibilitás:</t>
    </r>
    <r>
      <rPr>
        <sz val="11"/>
        <color theme="1"/>
        <rFont val="Calibri"/>
        <family val="2"/>
        <charset val="238"/>
        <scheme val="minor"/>
      </rPr>
      <t xml:space="preserve"> Kizárólag a fekete burkolatú Philips DreamStation 2 készülékekkel. (kialakításánál fogva NEM használható a DreamStation 1 (fehér) típushoz)</t>
    </r>
  </si>
  <si>
    <r>
      <t xml:space="preserve">•	 </t>
    </r>
    <r>
      <rPr>
        <b/>
        <sz val="11"/>
        <color theme="1"/>
        <rFont val="Calibri"/>
        <family val="2"/>
        <charset val="238"/>
        <scheme val="minor"/>
      </rPr>
      <t>Funkció:</t>
    </r>
    <r>
      <rPr>
        <sz val="11"/>
        <color theme="1"/>
        <rFont val="Calibri"/>
        <family val="2"/>
        <charset val="238"/>
        <scheme val="minor"/>
      </rPr>
      <t xml:space="preserve"> Ez a vékonyabb, kék keretes pollenszűrő megfogja a mikroszkopikus szennyeződéseket és polleneket, extra tiszta környezetet biztosítva a pihentető alváshoz.
•	 </t>
    </r>
    <r>
      <rPr>
        <b/>
        <sz val="11"/>
        <color theme="1"/>
        <rFont val="Calibri"/>
        <family val="2"/>
        <charset val="238"/>
        <scheme val="minor"/>
      </rPr>
      <t xml:space="preserve">Használat: </t>
    </r>
    <r>
      <rPr>
        <sz val="11"/>
        <color theme="1"/>
        <rFont val="Calibri"/>
        <family val="2"/>
        <charset val="238"/>
        <scheme val="minor"/>
      </rPr>
      <t xml:space="preserve">Kizárólag a vastagabb, kék szivacs szűrővel együtt használható. A fehér szűrőt a kék keret alá/mögé kell bepattintani, így behelyezéskor a szivacs szűrő marad kívül.
•	 </t>
    </r>
    <r>
      <rPr>
        <b/>
        <sz val="11"/>
        <color theme="1"/>
        <rFont val="Calibri"/>
        <family val="2"/>
        <charset val="238"/>
        <scheme val="minor"/>
      </rPr>
      <t>Tisztítás:</t>
    </r>
    <r>
      <rPr>
        <sz val="11"/>
        <color theme="1"/>
        <rFont val="Calibri"/>
        <family val="2"/>
        <charset val="238"/>
        <scheme val="minor"/>
      </rPr>
      <t xml:space="preserve"> A pollenszűrő </t>
    </r>
    <r>
      <rPr>
        <b/>
        <sz val="11"/>
        <color theme="1"/>
        <rFont val="Calibri"/>
        <family val="2"/>
        <charset val="238"/>
        <scheme val="minor"/>
      </rPr>
      <t>NEM mosható</t>
    </r>
    <r>
      <rPr>
        <sz val="11"/>
        <color theme="1"/>
        <rFont val="Calibri"/>
        <family val="2"/>
        <charset val="238"/>
        <scheme val="minor"/>
      </rPr>
      <t xml:space="preserve">. Egyszer használatos kiegészítő, a mosás tönkreteszi a speciális szűrőréteget.
•	 </t>
    </r>
    <r>
      <rPr>
        <b/>
        <sz val="11"/>
        <color theme="1"/>
        <rFont val="Calibri"/>
        <family val="2"/>
        <charset val="238"/>
        <scheme val="minor"/>
      </rPr>
      <t>Csereperiódus:</t>
    </r>
    <r>
      <rPr>
        <sz val="11"/>
        <color theme="1"/>
        <rFont val="Calibri"/>
        <family val="2"/>
        <charset val="238"/>
        <scheme val="minor"/>
      </rPr>
      <t xml:space="preserve"> Használattól függően 30 naponta (vagy látható koszolódás esetén) cserélendő. 
•	 </t>
    </r>
    <r>
      <rPr>
        <b/>
        <sz val="11"/>
        <color theme="1"/>
        <rFont val="Calibri"/>
        <family val="2"/>
        <charset val="238"/>
        <scheme val="minor"/>
      </rPr>
      <t>Kompatibilitás:</t>
    </r>
    <r>
      <rPr>
        <sz val="11"/>
        <color theme="1"/>
        <rFont val="Calibri"/>
        <family val="2"/>
        <charset val="238"/>
        <scheme val="minor"/>
      </rPr>
      <t xml:space="preserve"> Philips DreamStation 1 készülék (kialakításánál fogva NEM használható a DreamStation 2 (fekete) típushoz)
</t>
    </r>
  </si>
  <si>
    <r>
      <t xml:space="preserve">•	 </t>
    </r>
    <r>
      <rPr>
        <b/>
        <sz val="11"/>
        <color theme="1"/>
        <rFont val="Calibri"/>
        <family val="2"/>
        <charset val="238"/>
        <scheme val="minor"/>
      </rPr>
      <t>Funkció:</t>
    </r>
    <r>
      <rPr>
        <sz val="11"/>
        <color theme="1"/>
        <rFont val="Calibri"/>
        <family val="2"/>
        <charset val="238"/>
        <scheme val="minor"/>
      </rPr>
      <t xml:space="preserve"> A gép elsődleges védelmét szolgálja a durva por és a szöszök ellen, megakadályozva a készülék belső egységeinek elszennyeződését.
•	 </t>
    </r>
    <r>
      <rPr>
        <b/>
        <sz val="11"/>
        <color theme="1"/>
        <rFont val="Calibri"/>
        <family val="2"/>
        <charset val="238"/>
        <scheme val="minor"/>
      </rPr>
      <t>Használat</t>
    </r>
    <r>
      <rPr>
        <sz val="11"/>
        <color theme="1"/>
        <rFont val="Calibri"/>
        <family val="2"/>
        <charset val="238"/>
        <scheme val="minor"/>
      </rPr>
      <t xml:space="preserve">: A készülék oldalán található szűrőház külső felébe kell illeszteni.
•	 </t>
    </r>
    <r>
      <rPr>
        <b/>
        <sz val="11"/>
        <color theme="1"/>
        <rFont val="Calibri"/>
        <family val="2"/>
        <charset val="238"/>
        <scheme val="minor"/>
      </rPr>
      <t>Tisztítás:</t>
    </r>
    <r>
      <rPr>
        <sz val="11"/>
        <color theme="1"/>
        <rFont val="Calibri"/>
        <family val="2"/>
        <charset val="238"/>
        <scheme val="minor"/>
      </rPr>
      <t xml:space="preserve"> A szivacsszűrő </t>
    </r>
    <r>
      <rPr>
        <b/>
        <sz val="11"/>
        <color theme="1"/>
        <rFont val="Calibri"/>
        <family val="2"/>
        <charset val="238"/>
        <scheme val="minor"/>
      </rPr>
      <t>mosható</t>
    </r>
    <r>
      <rPr>
        <sz val="11"/>
        <color theme="1"/>
        <rFont val="Calibri"/>
        <family val="2"/>
        <charset val="238"/>
        <scheme val="minor"/>
      </rPr>
      <t xml:space="preserve">. A kék kerettel együtt, langyos folyóvíz alatt öblítse át a szivacsot. </t>
    </r>
    <r>
      <rPr>
        <b/>
        <sz val="11"/>
        <color theme="1"/>
        <rFont val="Calibri"/>
        <family val="2"/>
        <charset val="238"/>
        <scheme val="minor"/>
      </rPr>
      <t>FONTOS:</t>
    </r>
    <r>
      <rPr>
        <sz val="11"/>
        <color theme="1"/>
        <rFont val="Calibri"/>
        <family val="2"/>
        <charset val="238"/>
        <scheme val="minor"/>
      </rPr>
      <t xml:space="preserve"> Mosás után alaposan rázza ki belőle a vizet, és hagyja teljesen (levegőn) megszáradni. Csak 100%-ban száraz állapotban, a kerettel együtt helyezhető vissza a készülékbe.
•	 </t>
    </r>
    <r>
      <rPr>
        <b/>
        <sz val="11"/>
        <color theme="1"/>
        <rFont val="Calibri"/>
        <family val="2"/>
        <charset val="238"/>
        <scheme val="minor"/>
      </rPr>
      <t>Csereperiódus:</t>
    </r>
    <r>
      <rPr>
        <sz val="11"/>
        <color theme="1"/>
        <rFont val="Calibri"/>
        <family val="2"/>
        <charset val="238"/>
        <scheme val="minor"/>
      </rPr>
      <t xml:space="preserve"> 6 havonta javasolt a cseréje egy új egységre.
•	 </t>
    </r>
    <r>
      <rPr>
        <b/>
        <sz val="11"/>
        <color theme="1"/>
        <rFont val="Calibri"/>
        <family val="2"/>
        <charset val="238"/>
        <scheme val="minor"/>
      </rPr>
      <t xml:space="preserve">Kompatibilitás: </t>
    </r>
    <r>
      <rPr>
        <sz val="11"/>
        <color theme="1"/>
        <rFont val="Calibri"/>
        <family val="2"/>
        <charset val="238"/>
        <scheme val="minor"/>
      </rPr>
      <t>Philips DreamStation 1 készülék (kialakításánál fogva NEM használható a DreamStation 2 (fekete) típushoz)</t>
    </r>
  </si>
  <si>
    <r>
      <t xml:space="preserve">•	 </t>
    </r>
    <r>
      <rPr>
        <b/>
        <sz val="11"/>
        <color theme="1"/>
        <rFont val="Calibri"/>
        <family val="2"/>
        <charset val="238"/>
        <scheme val="minor"/>
      </rPr>
      <t>Funkció:</t>
    </r>
    <r>
      <rPr>
        <sz val="11"/>
        <color theme="1"/>
        <rFont val="Calibri"/>
        <family val="2"/>
        <charset val="238"/>
        <scheme val="minor"/>
      </rPr>
      <t xml:space="preserve"> A sötétszürke szivacs szűrő használata kötelező, a készülék motorjának alapvető védelmét szolgálja a nagyobb szennyeződések (szöszök, nagyobb porszemcsék) ellen. Megléte elengedhetetlen a készülék élettartamának megőrzése és a meghibásodások elkerülése érdekében.
•	 </t>
    </r>
    <r>
      <rPr>
        <b/>
        <sz val="11"/>
        <color theme="1"/>
        <rFont val="Calibri"/>
        <family val="2"/>
        <charset val="238"/>
        <scheme val="minor"/>
      </rPr>
      <t>Használat:</t>
    </r>
    <r>
      <rPr>
        <sz val="11"/>
        <color theme="1"/>
        <rFont val="Calibri"/>
        <family val="2"/>
        <charset val="238"/>
        <scheme val="minor"/>
      </rPr>
      <t xml:space="preserve">  A készülék hátoldalán, kis fedél alatt található a szűrőnek kialakított rés. A szivacs szűrő </t>
    </r>
    <r>
      <rPr>
        <b/>
        <sz val="11"/>
        <color theme="1"/>
        <rFont val="Calibri"/>
        <family val="2"/>
        <charset val="238"/>
        <scheme val="minor"/>
      </rPr>
      <t>mosható</t>
    </r>
    <r>
      <rPr>
        <sz val="11"/>
        <color theme="1"/>
        <rFont val="Calibri"/>
        <family val="2"/>
        <charset val="238"/>
        <scheme val="minor"/>
      </rPr>
      <t xml:space="preserve"> és többször felhasználható.
•	 </t>
    </r>
    <r>
      <rPr>
        <b/>
        <sz val="11"/>
        <color theme="1"/>
        <rFont val="Calibri"/>
        <family val="2"/>
        <charset val="238"/>
        <scheme val="minor"/>
      </rPr>
      <t>Tisztítás:</t>
    </r>
    <r>
      <rPr>
        <sz val="11"/>
        <color theme="1"/>
        <rFont val="Calibri"/>
        <family val="2"/>
        <charset val="238"/>
        <scheme val="minor"/>
      </rPr>
      <t xml:space="preserve"> Javasoljuk, hogy kéthetente öblítse ki langyos, enyhén szappanos vízzel. </t>
    </r>
    <r>
      <rPr>
        <b/>
        <sz val="11"/>
        <color theme="1"/>
        <rFont val="Calibri"/>
        <family val="2"/>
        <charset val="238"/>
        <scheme val="minor"/>
      </rPr>
      <t>FONTOS:</t>
    </r>
    <r>
      <rPr>
        <sz val="11"/>
        <color theme="1"/>
        <rFont val="Calibri"/>
        <family val="2"/>
        <charset val="238"/>
        <scheme val="minor"/>
      </rPr>
      <t xml:space="preserve"> Csak teljesen száraz állapotban helyezze vissza a szűrőház legkülső részébe!
•	 </t>
    </r>
    <r>
      <rPr>
        <b/>
        <sz val="11"/>
        <color theme="1"/>
        <rFont val="Calibri"/>
        <family val="2"/>
        <charset val="238"/>
        <scheme val="minor"/>
      </rPr>
      <t>Csereperiódus:</t>
    </r>
    <r>
      <rPr>
        <sz val="11"/>
        <color theme="1"/>
        <rFont val="Calibri"/>
        <family val="2"/>
        <charset val="238"/>
        <scheme val="minor"/>
      </rPr>
      <t xml:space="preserve"> Higiéniai és műszaki okokból (az anyag elfáradása miatt) 6 havonta javasolt a cseréje.
•	 </t>
    </r>
    <r>
      <rPr>
        <b/>
        <sz val="11"/>
        <color theme="1"/>
        <rFont val="Calibri"/>
        <family val="2"/>
        <charset val="238"/>
        <scheme val="minor"/>
      </rPr>
      <t>Kompatibilitás:</t>
    </r>
    <r>
      <rPr>
        <sz val="11"/>
        <color theme="1"/>
        <rFont val="Calibri"/>
        <family val="2"/>
        <charset val="238"/>
        <scheme val="minor"/>
      </rPr>
      <t xml:space="preserve"> Löwenstein (korábban Weinmann) Somnobalance-e készülék</t>
    </r>
  </si>
  <si>
    <r>
      <t xml:space="preserve">•	  </t>
    </r>
    <r>
      <rPr>
        <b/>
        <sz val="11"/>
        <color theme="1"/>
        <rFont val="Calibri"/>
        <family val="2"/>
        <charset val="238"/>
        <scheme val="minor"/>
      </rPr>
      <t>Funkció:</t>
    </r>
    <r>
      <rPr>
        <sz val="11"/>
        <color theme="1"/>
        <rFont val="Calibri"/>
        <family val="2"/>
        <charset val="238"/>
        <scheme val="minor"/>
      </rPr>
      <t xml:space="preserve"> A fehér, sűrű szövésű finomporszűrő (pollenszűrő) a maximális levegőtisztaságot szolgálja. Kiszűri a mikroszkopikus szennyeződéseket (pollenek, spórák, finom porszemcsék), Használata kiemelten ajánlott légúti allergiában szenvedőknek. 
•	  </t>
    </r>
    <r>
      <rPr>
        <b/>
        <sz val="11"/>
        <color theme="1"/>
        <rFont val="Calibri"/>
        <family val="2"/>
        <charset val="238"/>
        <scheme val="minor"/>
      </rPr>
      <t>Használat:</t>
    </r>
    <r>
      <rPr>
        <sz val="11"/>
        <color theme="1"/>
        <rFont val="Calibri"/>
        <family val="2"/>
        <charset val="238"/>
        <scheme val="minor"/>
      </rPr>
      <t xml:space="preserve"> A szürke szivacs szűrővel együtt használandó: a pollenszűrő kerül belülre (alulra), és a szürke szivacs fedi le kívülről.
•	  </t>
    </r>
    <r>
      <rPr>
        <b/>
        <sz val="11"/>
        <color theme="1"/>
        <rFont val="Calibri"/>
        <family val="2"/>
        <charset val="238"/>
        <scheme val="minor"/>
      </rPr>
      <t>Tisztítás:</t>
    </r>
    <r>
      <rPr>
        <sz val="11"/>
        <color theme="1"/>
        <rFont val="Calibri"/>
        <family val="2"/>
        <charset val="238"/>
        <scheme val="minor"/>
      </rPr>
      <t xml:space="preserve"> A pollenszűrő </t>
    </r>
    <r>
      <rPr>
        <b/>
        <sz val="11"/>
        <color theme="1"/>
        <rFont val="Calibri"/>
        <family val="2"/>
        <charset val="238"/>
        <scheme val="minor"/>
      </rPr>
      <t>NEM mosható</t>
    </r>
    <r>
      <rPr>
        <sz val="11"/>
        <color theme="1"/>
        <rFont val="Calibri"/>
        <family val="2"/>
        <charset val="238"/>
        <scheme val="minor"/>
      </rPr>
      <t xml:space="preserve">! Vízzel érintkezve a rostok összeállnak és elzárják a levegő útját. Az elhasználódott pollenszűrőt el kell dobni.
•	  </t>
    </r>
    <r>
      <rPr>
        <b/>
        <sz val="11"/>
        <color theme="1"/>
        <rFont val="Calibri"/>
        <family val="2"/>
        <charset val="238"/>
        <scheme val="minor"/>
      </rPr>
      <t>Csereperiódus:</t>
    </r>
    <r>
      <rPr>
        <sz val="11"/>
        <color theme="1"/>
        <rFont val="Calibri"/>
        <family val="2"/>
        <charset val="238"/>
        <scheme val="minor"/>
      </rPr>
      <t xml:space="preserve"> Havonta (vagy elszürkülés esetén azonnal) cserélendő.
•	  </t>
    </r>
    <r>
      <rPr>
        <b/>
        <sz val="11"/>
        <color theme="1"/>
        <rFont val="Calibri"/>
        <family val="2"/>
        <charset val="238"/>
        <scheme val="minor"/>
      </rPr>
      <t xml:space="preserve">Kompatibilitás: </t>
    </r>
    <r>
      <rPr>
        <sz val="11"/>
        <color theme="1"/>
        <rFont val="Calibri"/>
        <family val="2"/>
        <charset val="238"/>
        <scheme val="minor"/>
      </rPr>
      <t>Löwenstein (korábban Weinmann) Somnobalance-e</t>
    </r>
  </si>
  <si>
    <r>
      <t xml:space="preserve">•	 </t>
    </r>
    <r>
      <rPr>
        <b/>
        <sz val="11"/>
        <color theme="1"/>
        <rFont val="Calibri"/>
        <family val="2"/>
        <charset val="238"/>
        <scheme val="minor"/>
      </rPr>
      <t xml:space="preserve">Funkció: </t>
    </r>
    <r>
      <rPr>
        <sz val="11"/>
        <color theme="1"/>
        <rFont val="Calibri"/>
        <family val="2"/>
        <charset val="238"/>
        <scheme val="minor"/>
      </rPr>
      <t xml:space="preserve">Ez az univerzális baktériumszűrő extra védelmi vonalat képez a terápiás levegő útjában. Feladata, hogy megállítsa a baktériumokat, vírusokat és a legapróbb szennyeződéseket, mielőtt azok a légzőkörbe kerülnének. Ez egy kétirányú szűrő, így a készülék védelmét is biztosítja. Próbaidőszak (TB-támogatásos terápia első 2 hónapja) alatt kötelező, azt követően elsősorban legyengült immunrendszerű pácienseknek vagy légúti fertőzések idején ajánlható. A készülékeknek nem kötelezően használandó tartozéka.
•	 </t>
    </r>
    <r>
      <rPr>
        <b/>
        <sz val="11"/>
        <color theme="1"/>
        <rFont val="Calibri"/>
        <family val="2"/>
        <charset val="238"/>
        <scheme val="minor"/>
      </rPr>
      <t>Használat:</t>
    </r>
    <r>
      <rPr>
        <sz val="11"/>
        <color theme="1"/>
        <rFont val="Calibri"/>
        <family val="2"/>
        <charset val="238"/>
        <scheme val="minor"/>
      </rPr>
      <t xml:space="preserve"> A szűrőt a készülék levegőkimenete és a gégecső közé kell illeszteni. Gömbölyű, „UFO” formája miatt könnyen megfogható és rögzíthető. </t>
    </r>
    <r>
      <rPr>
        <b/>
        <sz val="11"/>
        <color theme="1"/>
        <rFont val="Calibri"/>
        <family val="2"/>
        <charset val="238"/>
        <scheme val="minor"/>
      </rPr>
      <t>FONTOS:</t>
    </r>
    <r>
      <rPr>
        <sz val="11"/>
        <color theme="1"/>
        <rFont val="Calibri"/>
        <family val="2"/>
        <charset val="238"/>
        <scheme val="minor"/>
      </rPr>
      <t xml:space="preserve"> </t>
    </r>
    <r>
      <rPr>
        <b/>
        <sz val="11"/>
        <color theme="1"/>
        <rFont val="Calibri"/>
        <family val="2"/>
        <charset val="238"/>
        <scheme val="minor"/>
      </rPr>
      <t>Párásító használata esetén</t>
    </r>
    <r>
      <rPr>
        <sz val="11"/>
        <color theme="1"/>
        <rFont val="Calibri"/>
        <family val="2"/>
        <charset val="238"/>
        <scheme val="minor"/>
      </rPr>
      <t xml:space="preserve"> a szűrő felülete a nedvességtől hamar eltömődhet, ilyenkor a használata</t>
    </r>
    <r>
      <rPr>
        <b/>
        <sz val="11"/>
        <color theme="1"/>
        <rFont val="Calibri"/>
        <family val="2"/>
        <charset val="238"/>
        <scheme val="minor"/>
      </rPr>
      <t xml:space="preserve"> nem javasolt</t>
    </r>
    <r>
      <rPr>
        <sz val="11"/>
        <color theme="1"/>
        <rFont val="Calibri"/>
        <family val="2"/>
        <charset val="238"/>
        <scheme val="minor"/>
      </rPr>
      <t xml:space="preserve">.
•	 </t>
    </r>
    <r>
      <rPr>
        <b/>
        <sz val="11"/>
        <color theme="1"/>
        <rFont val="Calibri"/>
        <family val="2"/>
        <charset val="238"/>
        <scheme val="minor"/>
      </rPr>
      <t>Tisztítás:</t>
    </r>
    <r>
      <rPr>
        <sz val="11"/>
        <color theme="1"/>
        <rFont val="Calibri"/>
        <family val="2"/>
        <charset val="238"/>
        <scheme val="minor"/>
      </rPr>
      <t xml:space="preserve"> A pollenszűrő </t>
    </r>
    <r>
      <rPr>
        <b/>
        <sz val="11"/>
        <color theme="1"/>
        <rFont val="Calibri"/>
        <family val="2"/>
        <charset val="238"/>
        <scheme val="minor"/>
      </rPr>
      <t>NEM mosható</t>
    </r>
    <r>
      <rPr>
        <sz val="11"/>
        <color theme="1"/>
        <rFont val="Calibri"/>
        <family val="2"/>
        <charset val="238"/>
        <scheme val="minor"/>
      </rPr>
      <t xml:space="preserve">! Ha a fehér szűrőfelület elszürkül vagy nedvesség éri, el kell dobni ill. cserélni kell, mert az eltömődött szűrő akadályozza a levegő áramlását, így a terápia hatásossága nem lesz megfelelő, valamint a készülék motorját is fokozott terhelésnek teszi ki.
•	 </t>
    </r>
    <r>
      <rPr>
        <b/>
        <sz val="11"/>
        <color theme="1"/>
        <rFont val="Calibri"/>
        <family val="2"/>
        <charset val="238"/>
        <scheme val="minor"/>
      </rPr>
      <t xml:space="preserve">Csereperiódus: </t>
    </r>
    <r>
      <rPr>
        <sz val="11"/>
        <color theme="1"/>
        <rFont val="Calibri"/>
        <family val="2"/>
        <charset val="238"/>
        <scheme val="minor"/>
      </rPr>
      <t xml:space="preserve">Otthoni rendszeres használat mellett általában 30 nap. 
•	 </t>
    </r>
    <r>
      <rPr>
        <b/>
        <sz val="11"/>
        <color theme="1"/>
        <rFont val="Calibri"/>
        <family val="2"/>
        <charset val="238"/>
        <scheme val="minor"/>
      </rPr>
      <t>Technikai paraméterek és tudnivalók:</t>
    </r>
    <r>
      <rPr>
        <sz val="11"/>
        <color theme="1"/>
        <rFont val="Calibri"/>
        <family val="2"/>
        <charset val="238"/>
        <scheme val="minor"/>
      </rPr>
      <t xml:space="preserve"> A Philips Respironics gyártó által bevizsgált és forgalmazott baktériumszűrő 3 különböző beszállítótól (KingSystem, Wilamed és GVS) érkezik hozzánk elérhetőség függvényében. Ezek a baktériumszűrők azonos paraméterekkel rendelkeznek, tehát az illeszkedésben és a technikai tudásban is megegyeznek, csupán kinézetükben van némi eltérés. A "további képek" fülre kattintva talál ezekről fotót. Felhívjuk figyelmét, hogy az Ön megrendelését az aktuális készletünk alapján teljesítjük. 
•	 </t>
    </r>
    <r>
      <rPr>
        <b/>
        <sz val="11"/>
        <color theme="1"/>
        <rFont val="Calibri"/>
        <family val="2"/>
        <charset val="238"/>
        <scheme val="minor"/>
      </rPr>
      <t>Kompatibilitás:</t>
    </r>
    <r>
      <rPr>
        <sz val="11"/>
        <color theme="1"/>
        <rFont val="Calibri"/>
        <family val="2"/>
        <charset val="238"/>
        <scheme val="minor"/>
      </rPr>
      <t xml:space="preserve"> Minden standard (22 mm-es) csatlakozóval rendelkező CPAP/BiPAP készülékhez és gégecsőhöz használható.
</t>
    </r>
  </si>
  <si>
    <t>Philips Dreamstation 2 pollenszűrő - Eldobható pollenszűrő a maximális levegőtisztaságért.</t>
  </si>
  <si>
    <r>
      <rPr>
        <b/>
        <sz val="11"/>
        <color theme="1"/>
        <rFont val="Calibri"/>
        <family val="2"/>
        <charset val="238"/>
        <scheme val="minor"/>
      </rPr>
      <t>•  Funkció:</t>
    </r>
    <r>
      <rPr>
        <sz val="11"/>
        <color theme="1"/>
        <rFont val="Calibri"/>
        <family val="2"/>
        <charset val="238"/>
        <scheme val="minor"/>
      </rPr>
      <t xml:space="preserve"> Megfogja a mikroszkopikus szennyeződéseket, virágport és spórákat. Különösen ajánlott allergiásoknak a pihentető és tiszta alvás érdekében.
</t>
    </r>
    <r>
      <rPr>
        <b/>
        <sz val="11"/>
        <color theme="1"/>
        <rFont val="Calibri"/>
        <family val="2"/>
        <charset val="238"/>
        <scheme val="minor"/>
      </rPr>
      <t>•  Használat:</t>
    </r>
    <r>
      <rPr>
        <sz val="11"/>
        <color theme="1"/>
        <rFont val="Calibri"/>
        <family val="2"/>
        <charset val="238"/>
        <scheme val="minor"/>
      </rPr>
      <t xml:space="preserve"> A mosható szivacs szűrővel együtt használandó. A pollenszűrőt a szivacs szűrő alá (belülre) kell helyezni, így a két szűrő együttesen biztosítja a tökéletes szűrést.
</t>
    </r>
    <r>
      <rPr>
        <b/>
        <sz val="11"/>
        <color theme="1"/>
        <rFont val="Calibri"/>
        <family val="2"/>
        <charset val="238"/>
        <scheme val="minor"/>
      </rPr>
      <t>•  Tisztítás:</t>
    </r>
    <r>
      <rPr>
        <sz val="11"/>
        <color theme="1"/>
        <rFont val="Calibri"/>
        <family val="2"/>
        <charset val="238"/>
        <scheme val="minor"/>
      </rPr>
      <t xml:space="preserve"> A pollenszűrő </t>
    </r>
    <r>
      <rPr>
        <b/>
        <sz val="11"/>
        <color theme="1"/>
        <rFont val="Calibri"/>
        <family val="2"/>
        <charset val="238"/>
        <scheme val="minor"/>
      </rPr>
      <t>NEM mosható</t>
    </r>
    <r>
      <rPr>
        <sz val="11"/>
        <color theme="1"/>
        <rFont val="Calibri"/>
        <family val="2"/>
        <charset val="238"/>
        <scheme val="minor"/>
      </rPr>
      <t xml:space="preserve">. Az elszürkült, eltömítődött szűrő eldobandó.
</t>
    </r>
    <r>
      <rPr>
        <b/>
        <sz val="11"/>
        <color theme="1"/>
        <rFont val="Calibri"/>
        <family val="2"/>
        <charset val="238"/>
        <scheme val="minor"/>
      </rPr>
      <t xml:space="preserve">•  Csereperiódus: </t>
    </r>
    <r>
      <rPr>
        <sz val="11"/>
        <color theme="1"/>
        <rFont val="Calibri"/>
        <family val="2"/>
        <charset val="238"/>
        <scheme val="minor"/>
      </rPr>
      <t xml:space="preserve">Használattól függően 30 naponta (vagy látható elszürkülés esetén) cserélendő.
</t>
    </r>
    <r>
      <rPr>
        <b/>
        <sz val="11"/>
        <color theme="1"/>
        <rFont val="Calibri"/>
        <family val="2"/>
        <charset val="238"/>
        <scheme val="minor"/>
      </rPr>
      <t xml:space="preserve">•  Kompatibilitás: </t>
    </r>
    <r>
      <rPr>
        <sz val="11"/>
        <color theme="1"/>
        <rFont val="Calibri"/>
        <family val="2"/>
        <charset val="238"/>
        <scheme val="minor"/>
      </rPr>
      <t>Kizárólag a fekete burkolatú Philips DreamStation 2 készülékekkel. (kialakításánál fogva NEM használható a DreamStation 1 (fehér) típushoz)</t>
    </r>
  </si>
  <si>
    <r>
      <rPr>
        <b/>
        <sz val="11"/>
        <color rgb="FF0070C0"/>
        <rFont val="Calibri"/>
        <family val="2"/>
        <charset val="238"/>
        <scheme val="minor"/>
      </rPr>
      <t>•	 Funkció:</t>
    </r>
    <r>
      <rPr>
        <sz val="11"/>
        <color rgb="FF0070C0"/>
        <rFont val="Calibri"/>
        <family val="2"/>
        <charset val="238"/>
        <scheme val="minor"/>
      </rPr>
      <t xml:space="preserve"> Ez az egység látja el a gép összes szűrési feladatát: védi a motort és tisztítja a belélegzett levegőt.
</t>
    </r>
    <r>
      <rPr>
        <b/>
        <sz val="11"/>
        <color rgb="FF0070C0"/>
        <rFont val="Calibri"/>
        <family val="2"/>
        <charset val="238"/>
        <scheme val="minor"/>
      </rPr>
      <t>•	 Használat:</t>
    </r>
    <r>
      <rPr>
        <sz val="11"/>
        <color rgb="FF0070C0"/>
        <rFont val="Calibri"/>
        <family val="2"/>
        <charset val="238"/>
        <scheme val="minor"/>
      </rPr>
      <t xml:space="preserve"> A készülék hátulján található, erre a célra kialakított szűrőnyílásba kell beilleszteni.
</t>
    </r>
    <r>
      <rPr>
        <b/>
        <sz val="11"/>
        <color rgb="FF0070C0"/>
        <rFont val="Calibri"/>
        <family val="2"/>
        <charset val="238"/>
        <scheme val="minor"/>
      </rPr>
      <t>•	 Tisztítás:</t>
    </r>
    <r>
      <rPr>
        <sz val="11"/>
        <color rgb="FF0070C0"/>
        <rFont val="Calibri"/>
        <family val="2"/>
        <charset val="238"/>
        <scheme val="minor"/>
      </rPr>
      <t xml:space="preserve"> NEM tisztítható. Az elszürkült, eltömődött szűrő eldobandó.
</t>
    </r>
    <r>
      <rPr>
        <b/>
        <sz val="11"/>
        <color rgb="FF0070C0"/>
        <rFont val="Calibri"/>
        <family val="2"/>
        <charset val="238"/>
        <scheme val="minor"/>
      </rPr>
      <t>•	 Csereperiódus:</t>
    </r>
    <r>
      <rPr>
        <sz val="11"/>
        <color rgb="FF0070C0"/>
        <rFont val="Calibri"/>
        <family val="2"/>
        <charset val="238"/>
        <scheme val="minor"/>
      </rPr>
      <t xml:space="preserve"> Használattól függően 30 naponta (vagy látható elszürkülés esetén) cserélendő.
</t>
    </r>
    <r>
      <rPr>
        <b/>
        <sz val="11"/>
        <color rgb="FF0070C0"/>
        <rFont val="Calibri"/>
        <family val="2"/>
        <charset val="238"/>
        <scheme val="minor"/>
      </rPr>
      <t>•	 Kombatibilitás:</t>
    </r>
    <r>
      <rPr>
        <sz val="11"/>
        <color rgb="FF0070C0"/>
        <rFont val="Calibri"/>
        <family val="2"/>
        <charset val="238"/>
        <scheme val="minor"/>
      </rPr>
      <t xml:space="preserve"> Kizárólag Aeonmed AS100A CPAP készülékhez.</t>
    </r>
  </si>
  <si>
    <r>
      <rPr>
        <b/>
        <sz val="11"/>
        <color theme="1"/>
        <rFont val="Calibri"/>
        <family val="2"/>
        <charset val="238"/>
        <scheme val="minor"/>
      </rPr>
      <t>• Funkció:</t>
    </r>
    <r>
      <rPr>
        <sz val="11"/>
        <color theme="1"/>
        <rFont val="Calibri"/>
        <family val="2"/>
        <charset val="238"/>
        <scheme val="minor"/>
      </rPr>
      <t xml:space="preserve"> Ez a kiegészítő szűrő kiszűri az irritációt okozó polleneket és finom port a terápiás levegőből.
</t>
    </r>
    <r>
      <rPr>
        <b/>
        <sz val="11"/>
        <color theme="1"/>
        <rFont val="Calibri"/>
        <family val="2"/>
        <charset val="238"/>
        <scheme val="minor"/>
      </rPr>
      <t xml:space="preserve">•	 Használat: </t>
    </r>
    <r>
      <rPr>
        <sz val="11"/>
        <color theme="1"/>
        <rFont val="Calibri"/>
        <family val="2"/>
        <charset val="238"/>
        <scheme val="minor"/>
      </rPr>
      <t xml:space="preserve">A szürke szivacs szűrővel együtt használandó. A fehér szűrőt kell alulra (belülre) tenni, amelyre a szürke szivacsot helyezzük rá.
</t>
    </r>
    <r>
      <rPr>
        <b/>
        <sz val="11"/>
        <color theme="1"/>
        <rFont val="Calibri"/>
        <family val="2"/>
        <charset val="238"/>
        <scheme val="minor"/>
      </rPr>
      <t>•	 Tisztítás:</t>
    </r>
    <r>
      <rPr>
        <sz val="11"/>
        <color theme="1"/>
        <rFont val="Calibri"/>
        <family val="2"/>
        <charset val="238"/>
        <scheme val="minor"/>
      </rPr>
      <t xml:space="preserve"> NEM tisztítható. Az elszürkült, eltömítődött szűrő eldobandó.
</t>
    </r>
    <r>
      <rPr>
        <b/>
        <sz val="11"/>
        <color theme="1"/>
        <rFont val="Calibri"/>
        <family val="2"/>
        <charset val="238"/>
        <scheme val="minor"/>
      </rPr>
      <t>•	 Csereperiódus:</t>
    </r>
    <r>
      <rPr>
        <sz val="11"/>
        <color theme="1"/>
        <rFont val="Calibri"/>
        <family val="2"/>
        <charset val="238"/>
        <scheme val="minor"/>
      </rPr>
      <t xml:space="preserve"> Az állandó levegőminőség érdekében havonta cserélendő.
</t>
    </r>
    <r>
      <rPr>
        <b/>
        <sz val="11"/>
        <color theme="1"/>
        <rFont val="Calibri"/>
        <family val="2"/>
        <charset val="238"/>
        <scheme val="minor"/>
      </rPr>
      <t>•	 Kompatibilitás:</t>
    </r>
    <r>
      <rPr>
        <sz val="11"/>
        <color theme="1"/>
        <rFont val="Calibri"/>
        <family val="2"/>
        <charset val="238"/>
        <scheme val="minor"/>
      </rPr>
      <t xml:space="preserve"> Philips REMstar és System One sorozatú készülékek.
</t>
    </r>
    <r>
      <rPr>
        <b/>
        <sz val="11"/>
        <color theme="1"/>
        <rFont val="Calibri"/>
        <family val="2"/>
        <charset val="238"/>
        <scheme val="minor"/>
      </rPr>
      <t>•  SZAKMAI FIGYELMEZTETÉS:</t>
    </r>
    <r>
      <rPr>
        <sz val="11"/>
        <color theme="1"/>
        <rFont val="Calibri"/>
        <family val="2"/>
        <charset val="238"/>
        <scheme val="minor"/>
      </rPr>
      <t xml:space="preserve"> A Philips REMstar és System One készülékek mára technológiai szempontból koros modellnek számítanak. Bár a szűrőellátás továbbra is biztosított, az esetleges szervizelés és alkatrészellátás már nem garantálható. Javasoljuk, hogy fontolja meg készüléke frissítését modern, halkabb és hatékonyabb terápiát nyújtó modelljeinkre (pl. Löwenstein Prisma vagy DreamStation 2). Konzultáljon alvásszakértő orvosával az új generációs készülékek előnyeiről!</t>
    </r>
  </si>
  <si>
    <t>1 csomag=2 db</t>
  </si>
  <si>
    <t>1 csomag=6 db</t>
  </si>
  <si>
    <t>1 csomag=12 db</t>
  </si>
  <si>
    <t>Szivacsszűrő DreamStation 1  készülékhez 1db</t>
  </si>
  <si>
    <t>Pollenszűrő Dreamstation 1 készülékhez 1cs/6db</t>
  </si>
  <si>
    <t>Szivacsszűrő DreamStation 2  készülékhez 1db</t>
  </si>
  <si>
    <t>Pollenszűrő Dreamstation 2 készülékhez 1cs/6db</t>
  </si>
  <si>
    <t xml:space="preserve">LMT 31785-1110; LMT 31920-1110; WM 29600-1; EUX500S15; 112000205; EEX520H15C; WM 29900-1; WM 29930-2; WM 29960-2110; </t>
  </si>
  <si>
    <t xml:space="preserve">LMT 31785-1110; LMT 31920-1110; WM 29600-1; WM 29900-1; WM 29930-2; WM29960-2110; </t>
  </si>
  <si>
    <t>prisma készülékek</t>
  </si>
  <si>
    <t>minden készülék (jelenleg kapható)</t>
  </si>
  <si>
    <t>WM 27420/S</t>
  </si>
  <si>
    <t>Dreamstation1</t>
  </si>
  <si>
    <t>Dreamstation2</t>
  </si>
  <si>
    <t>IN561; IN461S; IN751S; IN701S; IN171; IN251S; IN10;IN761S; IN961S; IN1161X; IN261S</t>
  </si>
  <si>
    <t>régi Philips gépek (kifutott termékek)</t>
  </si>
  <si>
    <t>kínai cpap</t>
  </si>
  <si>
    <t>P</t>
  </si>
  <si>
    <t>SM</t>
  </si>
  <si>
    <t>1 db maszkpárna a kiválasztott méretben</t>
  </si>
  <si>
    <t>WM 25590; WM 25192</t>
  </si>
  <si>
    <t>WM 25600; WM 25192</t>
  </si>
  <si>
    <t>WM 25610; WM 25192</t>
  </si>
  <si>
    <t>WM 25680; WM 25192</t>
  </si>
  <si>
    <t>maszk, fejpánt</t>
  </si>
  <si>
    <t>WM 25510; WM 25505; WM 268001</t>
  </si>
  <si>
    <t>WM 25520; WM 25505; WM 268001</t>
  </si>
  <si>
    <t>WM 25530; WM 25505; WM 268001</t>
  </si>
  <si>
    <t>maszk, fejpánt, homloktámasz</t>
  </si>
  <si>
    <t>1 db maszkpárna</t>
  </si>
  <si>
    <t>WM 25260; WM 25255;WM 26801</t>
  </si>
  <si>
    <t>Dreamwear orrillesztékes (Silicone Pillows) maszkpárna S</t>
  </si>
  <si>
    <t>DreamWear orr alatti (Nasal) maszkpárna MW</t>
  </si>
  <si>
    <t>DreamWear orr alatti (Nasal) maszkpárna L</t>
  </si>
  <si>
    <t>DreamWear orr alatti (Nasal) maszkpárna M</t>
  </si>
  <si>
    <t>DreamWear orr alatti (Nasal) maszkpárna S</t>
  </si>
  <si>
    <t>Dreamwear orrillesztékes (Silicone Pillows) maszkpárna M</t>
  </si>
  <si>
    <t xml:space="preserve">Dreamwear orrillesztékes (Silicone Pillows) maszkpárna L </t>
  </si>
  <si>
    <t>maszk, orrillesztékes szilikon, fejpánt, váz, vázborítás, kilégző adapter</t>
  </si>
  <si>
    <t>1116720; 1146472; 1146473; 1146474; 1116751; 1116744; 1116746; 1116747; 1116754; 1116748</t>
  </si>
  <si>
    <t>1116720; 1116741; 1116742; 1116743 1116751; 1116744; 1116746; 1116747; 1116754; 1116748</t>
  </si>
  <si>
    <t>A Löwenstein Medical JOYCEeasy orrmaszk az „intelligens választás” az alvásterápiában. Minden részletében az egyszerűséget, a tartósságot és a kényelmet képviseli. Úgy tervezték, hogy optimális illeszkedése révén minimalizálja a szivárgást, ezzel növelve a terápia hatékonyságát. A maszk használata rendkívül praktikus: az egyszer beállított fejpánt rögzítése a színkódolt kapcsok segítségével minden alkalommal gyors és magabiztos marad, segítve a pácienst a helyes felhelyezésben.
Szakmai érv:
A JOYCEeasy legfontosabb megkülönböztető jegye a hagyományos szilikon maszkokkal szemben az orrpárnán és a homloktámaszon alkalmazott, selymesen puha SilkTec bevonat. Ez a bőrbarát réteg drasztikusan csökkenti a szilikon és az arcbőr közötti súrlódást, megelőzve a pirosságot és az irritációt. A maszk továbbfejlesztett, csendes kilégzőrendszere és a 360 fokban mozgó gömbcsatlakozása biztosítja a páciens mozgásszabadságát és az alvótárs zavartalan pihenését. A kialakításnak köszönhetően a nyomáspontok egyenletesen oszlanak el, így magasabb nyomáson is kényelmes marad.
Főbb előnyök:
- SilkTec technológia: Selymesen puha tapintás és irritációmentes viselet az orrpárnán és a homloktámaszon.
- Intuitív rögzítés: Színkódolt kapcsok segítik a gyors és hibamentes felhelyezést.
- Tökéletes illeszkedés: Stabil illeszkedés, amely tehermentesíti az érzékeny nyomáspontokat.
- Csendes működés: Optimalizált kilégzőrendszer a zajmentes éjszakákért.
- Precíz méretezés: S, M és L méretben is elérhető a pontos anatómiai illeszkedés érdekében.</t>
  </si>
  <si>
    <t>A Philips Nuance Pro Gel maszk új kategóriát teremtett az alvásterápiában: egyesíti a minimalista orrillesztékes kialakítást a Philips világhírű géltechnológiájával. A kék gél-gyűrűvel ellátott orrpárnák lágyan, mégis magabiztosan tömítenek. A "Pro" változat különlegessége a gél-bevonatú keret, amely puhább és rugalmasabb a hagyományos műanyag vázaknál, megelőzve az arcoldali nyomásnyomokat. A maszk nem takarja el az arcot és nincs homloktámasza, így tökéletes látóteret biztosít.
Szakmai érv: A gélpárnák jobban idomulnak az orr anatómiájához, mint a standard szilikon, így alacsonyabb szorítóerő mellett is szivárgásmentes marad a terápia. A maszk stabilitását jelentősen növeli a beépített, extra hajlékony és könnyű rövid cső (short tube), amely elvezeti a fő gégecső húzóerejét, megakadályozva a párnák elmozdulását és az irritációt. A csomag FitPack kiszerelésű, így Ön mindhárom méretet (S, M, L) kézhez kapja, hogy megtalálja a legmegfelelőbbet. 
Főbb előnyök:
- Gél-párnás technológia: Kimagasló komfort és irritációmentes illeszkedés az orrnyílásoknál.
- Integrált rövid cső: Rugalmas összeköttetés, amely biztosítja a stabil illeszkedést mozgás közben is.
- Gél keret: Puha, bőrbarát érintkezés az arcbőrrel.
- FitPack kiszerelés: Három párnaméret (S, M, L) egy csomagban a garantált kényelemért.</t>
  </si>
  <si>
    <t>Philips Pico – a minimalista elegancia. Rendkívül könnyű, homloktámasz nélküli kialakítás, amely stabil illeszkedést és szabad kilátást biztosít.</t>
  </si>
  <si>
    <t>A Philips Wisp orrmaszk az egyszerűség és a stílus találkozása az alvásterápiában. Különlegessége, hogy a hagyományos maszkokkal ellentétben választható kerettel (bőrbarát szövet vagy víztiszta szilikon) rendelkezik, így az eszköz nem orvosi műszernek, hanem a pihentető alvás természetes kiegészítőjének érződik. Minimalista kialakítása szabad látóteret biztosít, így szemüvegviseléshez vagy esti olvasáshoz is kiváló választás. A csomag FitPack kiszerelésű, tehát több párnaméretet is tartalmaz, így Ön otthon, saját környezetében választhatja ki a legtökéletesebb illeszkedést. A készlet részét képezi továbbá egy extra hajlékony, kisebb átmérőjű maszkcső is, amely jelentősen növeli a mozgásszabadságot az éjszaka folyamán.
Szakmai érv:
A Wisp sikerének titka a rugalmas, keret nélküli hatást keltő design, amely követi az arc vonalait, és minimálisra csökkenti a bőrirritációt. A maszk orrpárnája rendkívül kis felületen érintkezik az arccal, mégis stabil illeszkedést nyújt magas terápiás nyomás mellett is. A mágneses rögzítőkapcsok segítségével a maszk felvétele és beállítása ösztönös és gyors.
FIGYELEM: A maszk mágneses rögzítőkapcsokat tartalmaz, ezért beültetett aktív orvostechnikai eszközzel (pl. pacemaker) rendelkező páciensek esetén használat előtt orvosi konzultáció szükséges, vagy mágnesmentes típus választása javasolt.
Főbb előnyök:
- Választható keret: Szövet vagy szilikon váz a személyes komfortigényekhez igazítva.
- Extra rugalmasság: A mellékelt kisméretű, puha maszkcső csökkenti a gégecső húzóerejét, könnyebbé téve az alvást.
- FitPack kiszerelés: Három párnaméret (S/M, L, XL) egyetlen csomagban a garantált illeszkedésért.
- Szabad látótér: Homloktámasz nélküli kialakítás, ideális olvasáshoz vagy tévézéshez.
- Kompakt és könnyű: Minimális érintkezés az arccal, csökkentett irritációs kockázat.
- Mágneses kapcsok: Gyors és egyszerű rögzítés az éjszakai kényelemért.</t>
  </si>
  <si>
    <t>Rendkívül puha, bőrbarát tartalék szilikon párna, a Löwenstein CARA orrmaszk eredeti gyári kiegészítője. Tökéletes illeszkedés és prémium kényelem.</t>
  </si>
  <si>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</si>
  <si>
    <t>Rendkívül puha, bőrbarát tartalék szilikon párna, a Löwenstein JOYCEeasy orrmaszk eredeti gyári kiegészítője. Tökéletes illeszkedés és prémium kényelem.</t>
  </si>
  <si>
    <t>Funkció:
Ez a maszkpárna a Löwenstein különleges SilkTec bevonatával készül, amely selymes tapintást kölcsönöz a szilikonnak. Feladata, hogy drasztikusan csökkentse a súrlódást és a bőrpírt az orrnyergen, miközben stabil és szivárgásmentes illeszkedést biztosít. Ideális választás az átlagosnál érzékenyebb bőrű páciensek számára, biztosítva a zavartalan alvást.
Használat:
A maszkpárna cseréje egyszerű folyamat. Az elhasználódott szilikont egy határozott mozdulattal válassza le a maszk műanyag vázáról. Az új 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Löwenstein JOYCEeasy  orrmaszkok.
Elérhető méretek: S, M, L.</t>
  </si>
  <si>
    <t>Rendkívül puha, bőrbarát tartalék szilikon párna, a Löwenstein JOYCEone orrmaszk eredeti gyári kiegészítője. Tökéletes illeszkedés és prémium kényelem.</t>
  </si>
  <si>
    <t>Funkció:
A JOYCEone maszkpárna különlegessége az intelligens kialakítás, amely lehetővé teszi, hogy egyetlen méretben is tökéletesen illeszkedjen szinte minden arcformához. Feladata, hogy automatikusan felvegye az orr kontúrját, biztosítva a szivárgásmentes terápiát anélkül, hogy bonyolult beállításokra lenne szükség. Stabil tartást és halk működést garantál egész éjszaka.
Használat:
A maszkpárna cseréje gyors és egyszerű. Húzza le a régi szilikon párnát a maszk vázáról, majd az új maszkpárna peremét illessze a vázon található vájatba. Egyenletes nyomással pattintsa a helyére, amíg a rögzítés stabil nem lesz. Mivel a termék egy méretben készül, az illeszkedés minden esetben pontos lesz.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Kizárólag a Löwenstein JOYCEone orrmaszkhoz használható.
Méret: One Size (Egy méret).</t>
  </si>
  <si>
    <t>Rendkívül puha, bőrbarát tartalék szilikon párna, a Philips DreamWear orrmaszk eredeti gyári kiegészítője. Tökéletes illeszkedés és prémium kényelem.</t>
  </si>
  <si>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</si>
  <si>
    <t>Funkció:
A Silicone Pillows változat az orrnyílásokba illeszkedő, puha, kúpszerű kialakításával biztosít közvetlen és stabil légáramlást. Feladata a maximális illeszkedési hatékonyság elérése minimális érintkezési felület mellett. A kúpok lágyan simulnak az orrnyílásokhoz, így még intenzívebb mozgás vagy oldalfekvés közben is stabilan helyén tartják a maszkot, megelőzve a szivárgást.
Használat:
A DreamWear rendszer modularitásának köszönhetően ez az szilikon kiegészítő könnyen behelyezhető a standard DreamWear vázba. A régi maszkpárna eltávolítása után illessze az orrillesztékes egység két végét a váz csatlakozóihoz, és pattintsa őket a helyükre. Győződjön meg róla, hogy az illesztéken látható jelölések a megfelelő irányba mutatnak.
Tisztítás:
A higiénia és a hosszú élettartam érdekében a maszkpárnát alvás után naponta javasolt tisztítani. Használjon langyos mosogatószeres vizet, különös figyelmet fordítva a kúpok belső és külső felületére. Öblítés után hagyja levegőn megszáradni, közvetlen napfénytől és fűtőtesttől távol. Ne használjon alkoholt vagy súrolószereket!
Csereperiódus – A páciens felelőssége:
A maszkott higiéniai okokból évente javasolt cserélni, azonban az optimális illeszkedés és kényelem fenntartása érdekében a maszkpárna 6-9 havi cseréje indokolt lehet.
» Mikor cserélje korábban? Amennyiben a szilikon kúpok láthatóan elszíneződnek, elveszítik tartásukat (meglágyulnak vagy épp ellenkezőleg, megkeményednek), a illeszkedés hatékonysága csökken. Ha irritációt érez az orrnyílásoknál, vagy a maszk ereszteni kezd, a párna cseréje azonnal javasolt.
Kompatibilitás:
Philips DreamWear maszkrendszer.
Elérhető méretek: S, M, L.</t>
  </si>
  <si>
    <t>Rendkívül puha, bőrbarát tartalék szilikon párna, a Philips Nuance Pro 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</si>
  <si>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A Nuance Pro maszkpárna a Philips egyedülálló géltechnológiáját alkalmazza, a puha gélgyűrű tökéletesen idomul az orrnyílásokhoz, minimalizálva az irritációt és a nyomáspontokat. Stabil és szivárgásmentes illeszkedés biztosít még magasabb terápiás nyomás mellett is, miközben rendkívül könnyű marad, és szabad látómezőt biztosít a páciens számára.
</t>
    </r>
    <r>
      <rPr>
        <b/>
        <sz val="11"/>
        <color theme="1"/>
        <rFont val="Calibri"/>
        <family val="2"/>
        <charset val="238"/>
        <scheme val="minor"/>
      </rPr>
      <t>Használat:</t>
    </r>
    <r>
      <rPr>
        <sz val="11"/>
        <color theme="1"/>
        <rFont val="Calibri"/>
        <family val="2"/>
        <charset val="238"/>
        <scheme val="minor"/>
      </rPr>
      <t xml:space="preserve">
A maszkpárna cseréje egyszerű folyamat. Az elhasználódott gélpárnát pattintsa ki a Nuance Pro maszk gélvázából. Az új párna felhelyezésekor illessze a maszkpárna peremét a vázon található nyílásba, és gyakoroljon rá enyhe nyomást, amíg az stabilan a helyére nem ugrik. Győződjön meg róla, hogy az illeszték megfelelően rögzült, és nem szelel a csatlakozási pontnál.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gél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gélpárna láthatóan elszíneződik, a szilikon része megkeményedik vagy tapintása ragacsossá válik, a tömítés hatékonysága csökken. Ha irritációt érez az orrnyílásoknál, vagy a maszk ereszteni kezd, a maszkpárna cseréje azonnal javasolt a terápiás hatékonyság megőrzése érdekében.
</t>
    </r>
    <r>
      <rPr>
        <b/>
        <sz val="11"/>
        <color theme="1"/>
        <rFont val="Calibri"/>
        <family val="2"/>
        <charset val="238"/>
        <scheme val="minor"/>
      </rPr>
      <t>Kompatibilitás:</t>
    </r>
    <r>
      <rPr>
        <sz val="11"/>
        <color theme="1"/>
        <rFont val="Calibri"/>
        <family val="2"/>
        <charset val="238"/>
        <scheme val="minor"/>
      </rPr>
      <t xml:space="preserve">
Kizárólag a Philips Nuance Pro orrillesztékes maszkhoz használható.
</t>
    </r>
    <r>
      <rPr>
        <b/>
        <sz val="11"/>
        <color theme="1"/>
        <rFont val="Calibri"/>
        <family val="2"/>
        <charset val="238"/>
        <scheme val="minor"/>
      </rPr>
      <t xml:space="preserve">Elérhető méretek: </t>
    </r>
    <r>
      <rPr>
        <sz val="11"/>
        <color theme="1"/>
        <rFont val="Calibri"/>
        <family val="2"/>
        <charset val="238"/>
        <scheme val="minor"/>
      </rPr>
      <t>S, M, L.</t>
    </r>
  </si>
  <si>
    <r>
      <t xml:space="preserve">1105168; </t>
    </r>
    <r>
      <rPr>
        <b/>
        <sz val="11"/>
        <color rgb="FFFF0000"/>
        <rFont val="Calibri"/>
        <family val="2"/>
        <charset val="238"/>
        <scheme val="minor"/>
      </rPr>
      <t>FEJPÁNT?</t>
    </r>
  </si>
  <si>
    <r>
      <t xml:space="preserve">maszk, </t>
    </r>
    <r>
      <rPr>
        <b/>
        <sz val="11"/>
        <color rgb="FFFF0000"/>
        <rFont val="Calibri"/>
        <family val="2"/>
        <charset val="238"/>
        <scheme val="minor"/>
      </rPr>
      <t>?fejpánt?</t>
    </r>
  </si>
  <si>
    <t>Rendkívül puha, bőrbarát tartalék szilikon párna, a Philips Pico orrmaszk eredeti gyári kiegészítője. Tökéletes illeszkedés és prémium kényelem.</t>
  </si>
  <si>
    <r>
      <rPr>
        <b/>
        <sz val="11"/>
        <color theme="1"/>
        <rFont val="Calibri"/>
        <family val="2"/>
        <charset val="238"/>
        <scheme val="minor"/>
      </rPr>
      <t xml:space="preserve">Funkció: </t>
    </r>
    <r>
      <rPr>
        <sz val="11"/>
        <color theme="1"/>
        <rFont val="Calibri"/>
        <family val="2"/>
        <charset val="238"/>
        <scheme val="minor"/>
      </rPr>
      <t xml:space="preserve">
A Philips Pico maszkpárna minimalista dizájnban készült, feladata a terápiás levegő szivárgásmentes biztosítása egyetlen, lágy érintkezési felületen keresztül. A párna speciális kettős fala (dual-wall) segít abban, hogy a belső réteg tömítsen, míg a külső réteg kényelmesen feküdjön fel az arcra, így csökkentve az orrnyeregre nehezedő nyomást.
</t>
    </r>
    <r>
      <rPr>
        <b/>
        <sz val="11"/>
        <color theme="1"/>
        <rFont val="Calibri"/>
        <family val="2"/>
        <charset val="238"/>
        <scheme val="minor"/>
      </rPr>
      <t>Használat:</t>
    </r>
    <r>
      <rPr>
        <sz val="11"/>
        <color theme="1"/>
        <rFont val="Calibri"/>
        <family val="2"/>
        <charset val="238"/>
        <scheme val="minor"/>
      </rPr>
      <t xml:space="preserve">
A maszkpárna cseréje rendkívül gyors és magától értetődő. Az elhasználódott szilikon párnát egyszerűen pattintsa le a maszk merev műanyag vázáról. Az új maszkpárna felhelyezésekor illessze a maszkpárnán lévő nyílást a váz csatlakozójához, és egyenletes nyomással pattintsa a helyére, amíg a rögzítés stabil nem lesz körben mindenhol.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xml:space="preserve">   » Mikor cserélje korábban? </t>
    </r>
    <r>
      <rPr>
        <sz val="11"/>
        <color theme="1"/>
        <rFont val="Calibri"/>
        <family val="2"/>
        <charset val="238"/>
        <scheme val="minor"/>
      </rPr>
      <t xml:space="preserve">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Pico orrmaszkhoz használható.
</t>
    </r>
    <r>
      <rPr>
        <b/>
        <sz val="11"/>
        <color theme="1"/>
        <rFont val="Calibri"/>
        <family val="2"/>
        <charset val="238"/>
        <scheme val="minor"/>
      </rPr>
      <t xml:space="preserve">Elérhető méretek: </t>
    </r>
    <r>
      <rPr>
        <sz val="11"/>
        <color theme="1"/>
        <rFont val="Calibri"/>
        <family val="2"/>
        <charset val="238"/>
        <scheme val="minor"/>
      </rPr>
      <t>S/M, L, XL.</t>
    </r>
  </si>
  <si>
    <t xml:space="preserve">1104921; 1146406; 1104931; </t>
  </si>
  <si>
    <t>maszk, fejpánt, kilégző adapter</t>
  </si>
  <si>
    <t xml:space="preserve">1104922; 1146406; 1104931; </t>
  </si>
  <si>
    <t xml:space="preserve">1104923; 1146406; 1104931; </t>
  </si>
  <si>
    <t>Rendkívül puha, bőrbarát tartalék szilikon párna, a Philips Wisp orrmaszk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</si>
  <si>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t>
    </r>
    <r>
      <rPr>
        <b/>
        <sz val="11"/>
        <color theme="1"/>
        <rFont val="Calibri"/>
        <family val="2"/>
        <charset val="238"/>
        <scheme val="minor"/>
      </rPr>
      <t>Használat:</t>
    </r>
    <r>
      <rPr>
        <sz val="11"/>
        <color theme="1"/>
        <rFont val="Calibri"/>
        <family val="2"/>
        <charset val="238"/>
        <scheme val="minor"/>
      </rPr>
      <t xml:space="preserve">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Wisp orrmaszkhoz használható.
</t>
    </r>
    <r>
      <rPr>
        <b/>
        <sz val="11"/>
        <color theme="1"/>
        <rFont val="Calibri"/>
        <family val="2"/>
        <charset val="238"/>
        <scheme val="minor"/>
      </rPr>
      <t xml:space="preserve">Elérhető méretek: </t>
    </r>
    <r>
      <rPr>
        <sz val="11"/>
        <color theme="1"/>
        <rFont val="Calibri"/>
        <family val="2"/>
        <charset val="238"/>
        <scheme val="minor"/>
      </rPr>
      <t>P (Petite), S/M, L, XL.</t>
    </r>
  </si>
  <si>
    <t>1094060; 104061; 1094078; 1094080; 1094081; 1105624</t>
  </si>
  <si>
    <t>maszk, fejpánt, váz szilikon, váz textil, maszkcső és könyök</t>
  </si>
  <si>
    <t>Joyce ONE Full maszkpárna</t>
  </si>
  <si>
    <t>Rendkívül puha, bőrbarát tartalék szilikon párna, a Löwenstein CARA Full Face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</si>
  <si>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t>
    </r>
    <r>
      <rPr>
        <b/>
        <sz val="11"/>
        <color theme="1"/>
        <rFont val="Calibri"/>
        <family val="2"/>
        <charset val="238"/>
        <scheme val="minor"/>
      </rPr>
      <t>Használat:</t>
    </r>
    <r>
      <rPr>
        <sz val="11"/>
        <color theme="1"/>
        <rFont val="Calibri"/>
        <family val="2"/>
        <charset val="238"/>
        <scheme val="minor"/>
      </rPr>
      <t xml:space="preserve">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Löwenstein CARA Full Face arcmaszkhoz használható.
</t>
    </r>
    <r>
      <rPr>
        <b/>
        <sz val="11"/>
        <color theme="1"/>
        <rFont val="Calibri"/>
        <family val="2"/>
        <charset val="238"/>
        <scheme val="minor"/>
      </rPr>
      <t>Elérhető méretek:</t>
    </r>
    <r>
      <rPr>
        <sz val="11"/>
        <color theme="1"/>
        <rFont val="Calibri"/>
        <family val="2"/>
        <charset val="238"/>
        <scheme val="minor"/>
      </rPr>
      <t xml:space="preserve"> S, M, L.</t>
    </r>
  </si>
  <si>
    <t xml:space="preserve">WM 25630; WM 25243; </t>
  </si>
  <si>
    <t xml:space="preserve">WM 25640; WM 25243; </t>
  </si>
  <si>
    <t xml:space="preserve">WM 25650; WM 25243; </t>
  </si>
  <si>
    <t xml:space="preserve">WM 25680; WM 25243; </t>
  </si>
  <si>
    <t>egyméretes</t>
  </si>
  <si>
    <t>Rendkívül puha, bőrbarát tartalék szilikon maszkpárna, a Löwenstein JOYCEeasy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</si>
  <si>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Ez a maszkpárna a Löwenstein különleges SilkTec bevonatával készül, amely selymes tapintást kölcsönöz a szilikonnak az orr és a száj környékén. Feladata a terápiás levegő szivárgásmentes biztosítása mellett a súrlódás és a bőrpír drasztikus csökkentése. Ideális választás az érzékenyebb bőrű páciensek számára, biztosítva a zavartalan és kényelmes alvást.
</t>
    </r>
    <r>
      <rPr>
        <b/>
        <sz val="11"/>
        <color theme="1"/>
        <rFont val="Calibri"/>
        <family val="2"/>
        <charset val="238"/>
        <scheme val="minor"/>
      </rPr>
      <t>Használat:</t>
    </r>
    <r>
      <rPr>
        <sz val="11"/>
        <color theme="1"/>
        <rFont val="Calibri"/>
        <family val="2"/>
        <charset val="238"/>
        <scheme val="minor"/>
      </rPr>
      <t xml:space="preserve">
A maszkpárna cseréje egyszerű folyamat. Az elhasználódott szilikont egy határozott mozdulattal válassza le a maszk műanyag vázáról. Az új maszkpárna felhelyezésekor ügyeljen a pontos illeszkedésre: nyomja rá a vázra, amíg a rögzítőelemek körben mindenhol a helyükre nem pattannak.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SilkTec felületet!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Löwenstein JOYCEeasy Full Face és JOYCE SilkGel Full Face arcmaszkok.
</t>
    </r>
    <r>
      <rPr>
        <b/>
        <sz val="11"/>
        <color theme="1"/>
        <rFont val="Calibri"/>
        <family val="2"/>
        <charset val="238"/>
        <scheme val="minor"/>
      </rPr>
      <t>Elérhető méretek:</t>
    </r>
    <r>
      <rPr>
        <sz val="11"/>
        <color theme="1"/>
        <rFont val="Calibri"/>
        <family val="2"/>
        <charset val="238"/>
        <scheme val="minor"/>
      </rPr>
      <t xml:space="preserve"> S, M, L.</t>
    </r>
  </si>
  <si>
    <t>WM 25910; WM 25606;</t>
  </si>
  <si>
    <t>WM 25920; WM 25606;</t>
  </si>
  <si>
    <t>WM 25930; WM 25606;</t>
  </si>
  <si>
    <t>Rendkívül puha, bőrbarát tartalék szilikon maszkpárna, a Löwenstein JOYCEone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</si>
  <si>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Az intelligens kialakítású maszkpárna feladata, hogy egyetlen méretben is tökéletesen illeszkedjen szinte minden arcformához az orr és a száj környékén. Automatikusan felveszi az arc kontúrját, biztosítva a szivárgásmentes terápiát és a stabil tartást egész éjszaka, anélkül, hogy bonyolult beállításokra lenne szükség.
</t>
    </r>
    <r>
      <rPr>
        <b/>
        <sz val="11"/>
        <color theme="1"/>
        <rFont val="Calibri"/>
        <family val="2"/>
        <charset val="238"/>
        <scheme val="minor"/>
      </rPr>
      <t>Használat:</t>
    </r>
    <r>
      <rPr>
        <sz val="11"/>
        <color theme="1"/>
        <rFont val="Calibri"/>
        <family val="2"/>
        <charset val="238"/>
        <scheme val="minor"/>
      </rPr>
      <t xml:space="preserve">
A maszkpárna cseréje gyors és egyszerű. Húzza le a régi szilikont a maszk vázáról, majd az új maszkpárna peremét illessze a vázon található vájatba. Egyenletes nyomással pattintsa a helyére, amíg a rögzítés stabil nem lesz körben mindenhol.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Löwenstein JOYCEone Full Face arcmaszkhoz használható.
</t>
    </r>
    <r>
      <rPr>
        <b/>
        <sz val="11"/>
        <color theme="1"/>
        <rFont val="Calibri"/>
        <family val="2"/>
        <charset val="238"/>
        <scheme val="minor"/>
      </rPr>
      <t>Méret:</t>
    </r>
    <r>
      <rPr>
        <sz val="11"/>
        <color theme="1"/>
        <rFont val="Calibri"/>
        <family val="2"/>
        <charset val="238"/>
        <scheme val="minor"/>
      </rPr>
      <t xml:space="preserve"> One Size (Egy méret).</t>
    </r>
  </si>
  <si>
    <t xml:space="preserve">1 db "egyméretes" maszkpárna </t>
  </si>
  <si>
    <t>WM 25290; WM 25277</t>
  </si>
  <si>
    <t>Rendkívül puha, bőrbarát tartalék szilikon maszkpárna, a Löwenstein JOYCEeasy NEXT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</si>
  <si>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Ez a maszkpárna a Löwenstein mérnöki precizitásának legjavát nyújtja: az "Easy NEXT" kialakítás még pontosabb illeszkedést tesz lehetővé az orr és a száj környékén. Feladata a terápiás levegő stabil, szivárgásmentes biztosítása mellett a zajszint minimalizálása és a nyomáspontok elkerülése. A speciális szilikon perem rugalmasan követi az arc mozgását, így biztosítva a pihentető alvást még magasabb nyomásértékek mellett is.
</t>
    </r>
    <r>
      <rPr>
        <b/>
        <sz val="11"/>
        <color theme="1"/>
        <rFont val="Calibri"/>
        <family val="2"/>
        <charset val="238"/>
        <scheme val="minor"/>
      </rPr>
      <t>Használat:</t>
    </r>
    <r>
      <rPr>
        <sz val="11"/>
        <color theme="1"/>
        <rFont val="Calibri"/>
        <family val="2"/>
        <charset val="238"/>
        <scheme val="minor"/>
      </rPr>
      <t xml:space="preserve">
A maszkpárna cseréje gyors és egyszerű folyamat. Az elhasználódott szilikon párnát egy határozott mozdulattal válassza le a maszk műanyag vázáról. Az új maszkpárna felhelyezésekor illessze a peremet a vázon található rögzítő vájatba, majd körben haladva nyomja rá, amíg az stabilan és résmentesen a helyére nem pattan.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Löwenstein JOYCEeasy NEXT Full Face arcmaszkhoz használható.
</t>
    </r>
    <r>
      <rPr>
        <b/>
        <sz val="11"/>
        <color theme="1"/>
        <rFont val="Calibri"/>
        <family val="2"/>
        <charset val="238"/>
        <scheme val="minor"/>
      </rPr>
      <t>Elérhető méretek:</t>
    </r>
    <r>
      <rPr>
        <sz val="11"/>
        <color theme="1"/>
        <rFont val="Calibri"/>
        <family val="2"/>
        <charset val="238"/>
        <scheme val="minor"/>
      </rPr>
      <t xml:space="preserve"> S, M, L.</t>
    </r>
  </si>
  <si>
    <t>WM 25109; WM 25105</t>
  </si>
  <si>
    <t>Rendkívül puha, bőrbarát tartalék szilikon maszkpárna, a Löwenstein LENA arcmaszk eredeti gyári kiegészítője. Tökéletes illeszkedés és prémium kényelem.</t>
  </si>
  <si>
    <r>
      <rPr>
        <b/>
        <sz val="11"/>
        <color theme="1"/>
        <rFont val="Calibri"/>
        <family val="2"/>
        <charset val="238"/>
        <scheme val="minor"/>
      </rPr>
      <t xml:space="preserve">Funkció: </t>
    </r>
    <r>
      <rPr>
        <sz val="11"/>
        <color theme="1"/>
        <rFont val="Calibri"/>
        <family val="2"/>
        <charset val="238"/>
        <scheme val="minor"/>
      </rPr>
      <t xml:space="preserve">
Ez az eredeti gyári maszkpárna a LENA maszkcsalád technológiai innovációira épül. Feladata, hogy még magas terápiás nyomás mellett is stabil, szivárgásmentes és csendes alvási élményt biztosítson. A maszkpárna formatervezése különösen karcsú, így minimális érintkezési felület mellett is tökéletes illeszkedést garantál az orr és a száj környékén, elkerülve a látómező korlátozását és a zavaró nyomáspontokat.
</t>
    </r>
    <r>
      <rPr>
        <b/>
        <sz val="11"/>
        <color theme="1"/>
        <rFont val="Calibri"/>
        <family val="2"/>
        <charset val="238"/>
        <scheme val="minor"/>
      </rPr>
      <t xml:space="preserve">Használat: </t>
    </r>
    <r>
      <rPr>
        <sz val="11"/>
        <color theme="1"/>
        <rFont val="Calibri"/>
        <family val="2"/>
        <charset val="238"/>
        <scheme val="minor"/>
      </rPr>
      <t xml:space="preserve">
A maszkpárna cseréje egyszerű és gyors. Az elhasználódott szilikon párnát válassza le a maszk vázáról, majd az új maszkpárna belső peremét illessze a vázon található foglalatba. Gyengéd, de határozott nyomással pattintsa a helyére körben mindenhol, amíg a rögzítés stabil és résmentes nem lesz.
</t>
    </r>
    <r>
      <rPr>
        <b/>
        <sz val="11"/>
        <color theme="1"/>
        <rFont val="Calibri"/>
        <family val="2"/>
        <charset val="238"/>
        <scheme val="minor"/>
      </rPr>
      <t xml:space="preserve">Tisztítás: </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t>
    </r>
    <r>
      <rPr>
        <b/>
        <sz val="11"/>
        <color theme="1"/>
        <rFont val="Calibri"/>
        <family val="2"/>
        <charset val="238"/>
        <scheme val="minor"/>
      </rPr>
      <t xml:space="preserve">Csereperiódus – A páciens felelőssége: </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 xml:space="preserve">Kompatibilitás: </t>
    </r>
    <r>
      <rPr>
        <sz val="11"/>
        <color theme="1"/>
        <rFont val="Calibri"/>
        <family val="2"/>
        <charset val="238"/>
        <scheme val="minor"/>
      </rPr>
      <t xml:space="preserve">
Kizárólag a Löwenstein LENA Full Face arcmaszkhoz használható.
</t>
    </r>
    <r>
      <rPr>
        <b/>
        <sz val="11"/>
        <color theme="1"/>
        <rFont val="Calibri"/>
        <family val="2"/>
        <charset val="238"/>
        <scheme val="minor"/>
      </rPr>
      <t xml:space="preserve">Elérhető méretek: </t>
    </r>
    <r>
      <rPr>
        <sz val="11"/>
        <color theme="1"/>
        <rFont val="Calibri"/>
        <family val="2"/>
        <charset val="238"/>
        <scheme val="minor"/>
      </rPr>
      <t>S, M, L.</t>
    </r>
  </si>
  <si>
    <t>LMT 26460; LMT 26435</t>
  </si>
  <si>
    <t>LMT 26470; LMT 26435</t>
  </si>
  <si>
    <t>LMT 26480; LMT 26435</t>
  </si>
  <si>
    <t>Rendkívül puha, bőrbarát tartalék szilikon maszkpárna, a Philips Amara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</si>
  <si>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A Philips Amara maszkpárna feladata a terápiás levegő szivárgásmentes biztosítása az orr és a száj környékén, minimális súly mellett. A maszkpárna kettős falú kialakítása révén a belső réteg felel a stabil illeszkedésért, míg a külső, lágyabb réteg kényelmesen simul az arc kontúrjaihoz, csökkentve az orrnyeregre nehezedő nyomást.
</t>
    </r>
    <r>
      <rPr>
        <b/>
        <sz val="11"/>
        <color theme="1"/>
        <rFont val="Calibri"/>
        <family val="2"/>
        <charset val="238"/>
        <scheme val="minor"/>
      </rPr>
      <t>Használat:</t>
    </r>
    <r>
      <rPr>
        <sz val="11"/>
        <color theme="1"/>
        <rFont val="Calibri"/>
        <family val="2"/>
        <charset val="238"/>
        <scheme val="minor"/>
      </rPr>
      <t xml:space="preserve">
A maszkpárna cseréje a Philips "one-click" technológiájának köszönhetően rendkívül egyszerű. Az elhasználódott szilikont pattintsa le a maszk átlátszó műanyag vázáról. Az új maszkpárna felhelyezésekor illessze a párna közepén lévő nyílást a váz csatlakozójához, majd egy határozott mozdulattal nyomja rá, amíg egy kattanás nem jelzi a tökéletes rögzülést.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Amara arcmaszkhoz használható </t>
    </r>
    <r>
      <rPr>
        <i/>
        <sz val="11"/>
        <color theme="1"/>
        <rFont val="Calibri"/>
        <family val="2"/>
        <charset val="238"/>
        <scheme val="minor"/>
      </rPr>
      <t>(Figyelem: nem azonos az Amara View és az Amara Gel típussal!).</t>
    </r>
    <r>
      <rPr>
        <sz val="11"/>
        <color theme="1"/>
        <rFont val="Calibri"/>
        <family val="2"/>
        <charset val="238"/>
        <scheme val="minor"/>
      </rPr>
      <t xml:space="preserve">
</t>
    </r>
    <r>
      <rPr>
        <b/>
        <sz val="11"/>
        <color theme="1"/>
        <rFont val="Calibri"/>
        <family val="2"/>
        <charset val="238"/>
        <scheme val="minor"/>
      </rPr>
      <t>Elérhető méretek:</t>
    </r>
    <r>
      <rPr>
        <sz val="11"/>
        <color theme="1"/>
        <rFont val="Calibri"/>
        <family val="2"/>
        <charset val="238"/>
        <scheme val="minor"/>
      </rPr>
      <t xml:space="preserve"> S, M, L.</t>
    </r>
  </si>
  <si>
    <t>maszk, fejpánt, AmaraGel szilikon</t>
  </si>
  <si>
    <t xml:space="preserve">1090221; 1090297; 1090492; </t>
  </si>
  <si>
    <t>1090221; 1090297; 1090493</t>
  </si>
  <si>
    <t>1090221; 1090297; 1090494</t>
  </si>
  <si>
    <t>Rendkívül puha, bőrbarát tartalék szilikon maszkpárna, a Philips Amara Gel arcmaszk eredeti gyári kiegészítője. Tökéletes illeszkedés és prémium kényelem.</t>
  </si>
  <si>
    <r>
      <t xml:space="preserve">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t>
    </r>
    <r>
      <rPr>
        <b/>
        <sz val="11"/>
        <color theme="1"/>
        <rFont val="Calibri"/>
        <family val="2"/>
        <charset val="238"/>
        <scheme val="minor"/>
      </rPr>
      <t>Használat:</t>
    </r>
    <r>
      <rPr>
        <sz val="11"/>
        <color theme="1"/>
        <rFont val="Calibri"/>
        <family val="2"/>
        <charset val="238"/>
        <scheme val="minor"/>
      </rPr>
      <t xml:space="preserve">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t>
    </r>
    <r>
      <rPr>
        <b/>
        <sz val="11"/>
        <color theme="1"/>
        <rFont val="Calibri"/>
        <family val="2"/>
        <charset val="238"/>
        <scheme val="minor"/>
      </rPr>
      <t xml:space="preserve">Csereperiódus – A páciens felelőssége:
</t>
    </r>
    <r>
      <rPr>
        <sz val="11"/>
        <color theme="1"/>
        <rFont val="Calibri"/>
        <family val="2"/>
        <charset val="238"/>
        <scheme val="minor"/>
      </rPr>
      <t xml:space="preserve">A maszkot higiéniai okokból évente javasolt cserélni, azonban az optimális illeszkedés és kényelem fenntartása érdekében a maszkpárna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Amara maszkvázhoz használható </t>
    </r>
    <r>
      <rPr>
        <i/>
        <sz val="11"/>
        <color theme="1"/>
        <rFont val="Calibri"/>
        <family val="2"/>
        <charset val="238"/>
        <scheme val="minor"/>
      </rPr>
      <t>(Figyelem: kompatibilis a standard Amara vázzal is, így a szilikon párna gélre cserélhető).</t>
    </r>
    <r>
      <rPr>
        <sz val="11"/>
        <color theme="1"/>
        <rFont val="Calibri"/>
        <family val="2"/>
        <charset val="238"/>
        <scheme val="minor"/>
      </rPr>
      <t xml:space="preserve">
</t>
    </r>
    <r>
      <rPr>
        <b/>
        <sz val="11"/>
        <color theme="1"/>
        <rFont val="Calibri"/>
        <family val="2"/>
        <charset val="238"/>
        <scheme val="minor"/>
      </rPr>
      <t>Elérhető méretek:</t>
    </r>
    <r>
      <rPr>
        <sz val="11"/>
        <color theme="1"/>
        <rFont val="Calibri"/>
        <family val="2"/>
        <charset val="238"/>
        <scheme val="minor"/>
      </rPr>
      <t xml:space="preserve"> S, M, L</t>
    </r>
  </si>
  <si>
    <t>1090421; 1090221; 1090297</t>
  </si>
  <si>
    <t>1090425; 1090225; 1090297</t>
  </si>
  <si>
    <t>1090426; 1090228; 1090297</t>
  </si>
  <si>
    <t>Amara maszk, Amara Gel maszk, fejpánt</t>
  </si>
  <si>
    <t>Rendkívül puha, bőrbarát tartalék szilikon maszkpárna, a Philips Amara View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</si>
  <si>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Ez az eredeti gyári maszkpárna a Philips "minimal contact" technológiáját alkalmazza. Feladata a terápiás levegő szivárgásmentes biztosítása az orrnyílások és a száj környékén anélkül, hogy az orrnyerget érintené. A maszkpárna különleges nyílása lehetővé teszi, hogy a levegő közvetlenül az orrba jusson, miközben a szájat is stabilan lefedi. Ideális választás azoknak, akik szemüveget viselnek, olvasni vagy tévézni szeretnének elalvás előtt, vagy érzékenyek az orrnyerget érő nyomásra.
</t>
    </r>
    <r>
      <rPr>
        <b/>
        <sz val="11"/>
        <color theme="1"/>
        <rFont val="Calibri"/>
        <family val="2"/>
        <charset val="238"/>
        <scheme val="minor"/>
      </rPr>
      <t>Használat:</t>
    </r>
    <r>
      <rPr>
        <sz val="11"/>
        <color theme="1"/>
        <rFont val="Calibri"/>
        <family val="2"/>
        <charset val="238"/>
        <scheme val="minor"/>
      </rPr>
      <t xml:space="preserve">
A maszkpárna cseréje rendkívül gyors. Az elhasználódott szilikont egyszerűen pattintsa le a maszk műanyag vázáról. Az új maszkpárna felhelyezésekor először az orr alatti részt illessze a helyére, majd a maszkpárna alsó részét nyomja a vázba, amíg egy határozott kattanás nem jelzi a tökéletes rögzülést. Ügyeljen rá, hogy a maszkpárna szélei körben mindenhol simán és résmentesen feküdjenek fel a vázra.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vagy az orr alatt,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Amara View arcmaszkhoz használható (Figyelem: NEM kompatibilis a standard Amara vagy Amara Gel maszkvázakkal!).
</t>
    </r>
    <r>
      <rPr>
        <b/>
        <sz val="11"/>
        <color theme="1"/>
        <rFont val="Calibri"/>
        <family val="2"/>
        <charset val="238"/>
        <scheme val="minor"/>
      </rPr>
      <t>Elérhető méretek:</t>
    </r>
    <r>
      <rPr>
        <sz val="11"/>
        <color theme="1"/>
        <rFont val="Calibri"/>
        <family val="2"/>
        <charset val="238"/>
        <scheme val="minor"/>
      </rPr>
      <t xml:space="preserve"> S, M, L.</t>
    </r>
  </si>
  <si>
    <t>1090662; 1090697</t>
  </si>
  <si>
    <t>1090663; 1090697</t>
  </si>
  <si>
    <t>1090664; 1090697</t>
  </si>
  <si>
    <t>Rendkívül puha, bőrbarát tartalék szilikon maszkpárna, a Philips DreamWear Full Face arcmaszk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</si>
  <si>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t>
    </r>
    <r>
      <rPr>
        <b/>
        <sz val="11"/>
        <color theme="1"/>
        <rFont val="Calibri"/>
        <family val="2"/>
        <charset val="238"/>
        <scheme val="minor"/>
      </rPr>
      <t>Használat:</t>
    </r>
    <r>
      <rPr>
        <sz val="11"/>
        <color theme="1"/>
        <rFont val="Calibri"/>
        <family val="2"/>
        <charset val="238"/>
        <scheme val="minor"/>
      </rPr>
      <t xml:space="preserve">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
    </r>
    <r>
      <rPr>
        <b/>
        <sz val="11"/>
        <color theme="1"/>
        <rFont val="Calibri"/>
        <family val="2"/>
        <charset val="238"/>
        <scheme val="minor"/>
      </rPr>
      <t>Tisztítás:</t>
    </r>
    <r>
      <rPr>
        <sz val="11"/>
        <color theme="1"/>
        <rFont val="Calibri"/>
        <family val="2"/>
        <charset val="238"/>
        <scheme val="minor"/>
      </rPr>
      <t xml:space="preserve">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maszkpárna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t>
    </r>
    <r>
      <rPr>
        <b/>
        <sz val="11"/>
        <color theme="1"/>
        <rFont val="Calibri"/>
        <family val="2"/>
        <charset val="238"/>
        <scheme val="minor"/>
      </rPr>
      <t>Kompatibilitás:</t>
    </r>
    <r>
      <rPr>
        <sz val="11"/>
        <color theme="1"/>
        <rFont val="Calibri"/>
        <family val="2"/>
        <charset val="238"/>
        <scheme val="minor"/>
      </rPr>
      <t xml:space="preserve">
Kizárólag a Philips DreamWear Full Face arcmaszkhoz használható (Figyelem: bár a váz univerzális, a Full Face maszkpárnához a speciális Full Face fejpánt használata javasolt!).
</t>
    </r>
    <r>
      <rPr>
        <b/>
        <sz val="11"/>
        <color theme="1"/>
        <rFont val="Calibri"/>
        <family val="2"/>
        <charset val="238"/>
        <scheme val="minor"/>
      </rPr>
      <t>Elérhető méretek:</t>
    </r>
    <r>
      <rPr>
        <sz val="11"/>
        <color theme="1"/>
        <rFont val="Calibri"/>
        <family val="2"/>
        <charset val="238"/>
        <scheme val="minor"/>
      </rPr>
      <t xml:space="preserve"> S, M, L, MW (Medium Wide).</t>
    </r>
  </si>
  <si>
    <t>1133370; 1133450;</t>
  </si>
  <si>
    <t>1133371; 1133450;</t>
  </si>
  <si>
    <t>1133372; 1133450;</t>
  </si>
  <si>
    <t>1133373; 1133450;</t>
  </si>
  <si>
    <t>Rendkívül puha, bőrbarát tartalék szilikon homloktámasz, a Löwenstein JOYCEone és JOYCEeasy maszkok eredeti gyári kiegészítője. Tökéletes illeszkedés és prémium kényelem.</t>
  </si>
  <si>
    <r>
      <rPr>
        <b/>
        <sz val="11"/>
        <color theme="1"/>
        <rFont val="Calibri"/>
        <family val="2"/>
        <charset val="238"/>
        <scheme val="minor"/>
      </rPr>
      <t>Funkció:</t>
    </r>
    <r>
      <rPr>
        <sz val="11"/>
        <color theme="1"/>
        <rFont val="Calibri"/>
        <family val="2"/>
        <charset val="238"/>
        <scheme val="minor"/>
      </rPr>
      <t xml:space="preserve">
Ez az eredeti gyári kiegészítő a Löwenstein maszkok stabilitásáért és a homlokra nehezedő nyomás egyenletes elosztásáért felel. Feladata, hogy megakadályozza a benyomódások és piros foltok kialakulását a homlokon, miközben segít a maszkpárna optimális pozícióban tartásában. A lágy szilikon réteg extra komfortot biztosít, így a maszk stabil marad az éjszakai mozgások során is.
</t>
    </r>
    <r>
      <rPr>
        <b/>
        <sz val="11"/>
        <color theme="1"/>
        <rFont val="Calibri"/>
        <family val="2"/>
        <charset val="238"/>
        <scheme val="minor"/>
      </rPr>
      <t>Használat:</t>
    </r>
    <r>
      <rPr>
        <sz val="11"/>
        <color theme="1"/>
        <rFont val="Calibri"/>
        <family val="2"/>
        <charset val="238"/>
        <scheme val="minor"/>
      </rPr>
      <t xml:space="preserve">
A homloktámasz szilikon cseréje rendkívül egyszerű. Az elhasználódott, elszíneződött darabot pattintsa le a maszk homloktámasztó karjáról. Az új szilikont illessze a tartókonzolra, és enyhe nyomással rögzítse, amíg az stabilan a helyére nem kerül. Ügyeljen rá, hogy a szilikon peremei megfelelően feküdjenek fel a tartóra a maximális kényelem érdekében.
</t>
    </r>
    <r>
      <rPr>
        <b/>
        <sz val="11"/>
        <color theme="1"/>
        <rFont val="Calibri"/>
        <family val="2"/>
        <charset val="238"/>
        <scheme val="minor"/>
      </rPr>
      <t>Tisztítás:</t>
    </r>
    <r>
      <rPr>
        <sz val="11"/>
        <color theme="1"/>
        <rFont val="Calibri"/>
        <family val="2"/>
        <charset val="238"/>
        <scheme val="minor"/>
      </rPr>
      <t xml:space="preserve">
A higiénia és a hosszú élettartam érdekében a homloktámaszt naponta vagy minden második nap javasolt tisztítani. Használjon langyos mosogatószeres vizet az arcbőrről származó zsiradék és szennyeződések eltávolításához. Öblítés után hagyja levegőn megszáradni, közvetlen napfénytől és fűtőtesttől távol. Ne használjon alkoholt vagy súrolószereket!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homloktámasz szilikon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szilikon láthatóan elszíneződik (megsárgul), anyaga megkeményedik vagy tapintása ragacsossá válik, a homloktámasz már nem nyújt megfelelő párnázást. Ha irritációt érez a homlokán, vagy a maszk stabilitása csökken, a szilikon cseréje azonnal javasolt.
</t>
    </r>
    <r>
      <rPr>
        <b/>
        <sz val="11"/>
        <color theme="1"/>
        <rFont val="Calibri"/>
        <family val="2"/>
        <charset val="238"/>
        <scheme val="minor"/>
      </rPr>
      <t>Kompatibilitás:</t>
    </r>
    <r>
      <rPr>
        <sz val="11"/>
        <color theme="1"/>
        <rFont val="Calibri"/>
        <family val="2"/>
        <charset val="238"/>
        <scheme val="minor"/>
      </rPr>
      <t xml:space="preserve">
Löwenstein JOYCEone (orr- és arcmaszk),
Löwenstein JOYCEeasy (orr- és arcmaszk).
</t>
    </r>
    <r>
      <rPr>
        <b/>
        <sz val="11"/>
        <color theme="1"/>
        <rFont val="Calibri"/>
        <family val="2"/>
        <charset val="238"/>
        <scheme val="minor"/>
      </rPr>
      <t>Méret:</t>
    </r>
    <r>
      <rPr>
        <sz val="11"/>
        <color theme="1"/>
        <rFont val="Calibri"/>
        <family val="2"/>
        <charset val="238"/>
        <scheme val="minor"/>
      </rPr>
      <t xml:space="preserve"> Univerzális (One Size).,</t>
    </r>
  </si>
  <si>
    <t>JoyceEasy/JoyceONE homloktámasz</t>
  </si>
  <si>
    <t>4.2.3.</t>
  </si>
  <si>
    <t>Homloktámasz szilikonok</t>
  </si>
  <si>
    <t>HOMLOKTÁMASZ J.EASY/J.ONE</t>
  </si>
  <si>
    <t>MASZKPÁRNA CARA FULL</t>
  </si>
  <si>
    <t>MASZKPÁRNA JOYCEASY FULL</t>
  </si>
  <si>
    <t>MASZKPÁRNA JOYCEEASY NEXT FULL</t>
  </si>
  <si>
    <t>MASZKPÁRNA JOYCE ONE FULL</t>
  </si>
  <si>
    <t>MASZKPÁRNA AMARA GEL</t>
  </si>
  <si>
    <t>MASZKPÁRNA AMARA VIEW</t>
  </si>
  <si>
    <t>MASZKPÁRNA DREAMWEAR FULL</t>
  </si>
  <si>
    <t>Cara maszkpárna XS</t>
  </si>
  <si>
    <t>Cara maszkpárna S/M</t>
  </si>
  <si>
    <t>Cara maszkpárna M/L</t>
  </si>
  <si>
    <t>Cara maszkpárna XL</t>
  </si>
  <si>
    <t>JoyceOne maszkpárna</t>
  </si>
  <si>
    <t>DreamWear Gel maszkpárna S</t>
  </si>
  <si>
    <t>DreamWear Gel maszkpárna M</t>
  </si>
  <si>
    <t>DreamWear Gel maszkpárna L</t>
  </si>
  <si>
    <t>Nuance Pro maszkpárna S</t>
  </si>
  <si>
    <t>Nuance Pro maszkpárna M</t>
  </si>
  <si>
    <t>Nuance Pro maszkpárna L</t>
  </si>
  <si>
    <t>Pico maszkpárna S/M</t>
  </si>
  <si>
    <t>Pico maszkpárna L</t>
  </si>
  <si>
    <t>Pico maszkpárna XL</t>
  </si>
  <si>
    <t>Wisp maszkpárna P</t>
  </si>
  <si>
    <t>Wisp maszkpárna SM</t>
  </si>
  <si>
    <t>Wisp maszkpárna L</t>
  </si>
  <si>
    <t>Wisp maszkpárna XL</t>
  </si>
  <si>
    <t>Tartós kivitelű, rugalmas tartalék fejpánt a maszk stabil és kényelmes rögzítéséhez. A Löwenstein CARA orrmaszk eredeti gyári kiegészítője.</t>
  </si>
  <si>
    <r>
      <rPr>
        <b/>
        <sz val="11"/>
        <color theme="1"/>
        <rFont val="Calibri"/>
        <family val="2"/>
        <charset val="238"/>
        <scheme val="minor"/>
      </rPr>
      <t>Funkció:</t>
    </r>
    <r>
      <rPr>
        <sz val="11"/>
        <color theme="1"/>
        <rFont val="Calibri"/>
        <family val="2"/>
        <charset val="238"/>
        <scheme val="minor"/>
      </rPr>
      <t xml:space="preserve">
A Löwenstein CARA orrmaszk fejpánt felel a maszk stabil és pontos rögzítéséért az éjszaka folyamán. Feladata a terápiás nyomás egyenletes elosztása a fejen, elkerülve a kellemetlen nyomáspontokat és a bőrirritációt. A bőrbarát, légáteresztő anyag garantálja, hogy a maszk még aktívabb éjszakai mozgás közben is a helyén maradjon, biztosítva ezzel a terápia folyamatosságát.
</t>
    </r>
    <r>
      <rPr>
        <b/>
        <sz val="11"/>
        <color theme="1"/>
        <rFont val="Calibri"/>
        <family val="2"/>
        <charset val="238"/>
        <scheme val="minor"/>
      </rPr>
      <t>Használat:</t>
    </r>
    <r>
      <rPr>
        <sz val="11"/>
        <color theme="1"/>
        <rFont val="Calibri"/>
        <family val="2"/>
        <charset val="238"/>
        <scheme val="minor"/>
      </rPr>
      <t xml:space="preserve">
A fejpánt felhelyezése rendkívül egyszerű. Fűzze át a pántvégeket a maszk vázán található rögzítőfüleken, majd a tépőzárak segítségével állítsa be a kívánt feszességet, ügyelve a két oldal közötti szimmetriára. Az optimális beállítás akkor érhető el, ha a maszkpárna stabilan illeszkedik, de nem nyomja kényelmetlenül az arcot.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a fejpántot hetente legalább egyszer javasolt tisztítani. Használjon langyos mosogatószeres vizet, és kézzel mossa át az anyagot. Alaposan öblítse ki, majd hagyja levegőn megszáradni, közvetlen hőtől védve. Ne tegye szárítógépbe és ne használjon öblítőt, mert az károsíthatja a pánt rugalmas rostjait és a tépőzárak tapadását!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fejpánt anyaga kinyúlik (elveszíti rugalmasságát), a tépőzárak már nem tapadnak megfelelően, vagy az anyag szélei elrojtosodnak, a maszk stabilitása megszűnik. Ha azt tapasztalja, hogy az éjszaka során többször is utána kell húznia a pántoknak a szivárgásmentesség érdekében, a fejpánt megérett az azonnali cserére.
</t>
    </r>
    <r>
      <rPr>
        <b/>
        <sz val="11"/>
        <color theme="1"/>
        <rFont val="Calibri"/>
        <family val="2"/>
        <charset val="238"/>
        <scheme val="minor"/>
      </rPr>
      <t>Kompatibilitás:</t>
    </r>
    <r>
      <rPr>
        <sz val="11"/>
        <color theme="1"/>
        <rFont val="Calibri"/>
        <family val="2"/>
        <charset val="238"/>
        <scheme val="minor"/>
      </rPr>
      <t xml:space="preserve">
Kizárólag a Löwenstein CARA orrmaszkhoz használható.
</t>
    </r>
    <r>
      <rPr>
        <b/>
        <sz val="11"/>
        <color theme="1"/>
        <rFont val="Calibri"/>
        <family val="2"/>
        <charset val="238"/>
        <scheme val="minor"/>
      </rPr>
      <t>Elérhető méretek:</t>
    </r>
    <r>
      <rPr>
        <sz val="11"/>
        <color theme="1"/>
        <rFont val="Calibri"/>
        <family val="2"/>
        <charset val="238"/>
        <scheme val="minor"/>
      </rPr>
      <t xml:space="preserve"> standrad, XS</t>
    </r>
  </si>
  <si>
    <t>1 db fejpánt</t>
  </si>
  <si>
    <t>WM 25610; WM 25239</t>
  </si>
  <si>
    <t>maszk, maszkpárna</t>
  </si>
  <si>
    <t>Fejpántok</t>
  </si>
  <si>
    <t>Fejpántok orrmaszkhoz</t>
  </si>
  <si>
    <t>4.3.2.</t>
  </si>
  <si>
    <t>Fejpántok arcmaszkhoz</t>
  </si>
  <si>
    <t>Julia fejpánt small</t>
  </si>
  <si>
    <t>Julia fejpánt standard</t>
  </si>
  <si>
    <t>FEJPÁNT JULIA</t>
  </si>
  <si>
    <t>LMT 26795</t>
  </si>
  <si>
    <t>LMT 26714</t>
  </si>
  <si>
    <t>Státusz (Aktív / Kifutott / Inaktív)</t>
  </si>
  <si>
    <t>CARA FF fejpánt</t>
  </si>
  <si>
    <t>JoyceEasy FF fejpánt</t>
  </si>
  <si>
    <t>JoyceEasy NEXT FF fejpánt</t>
  </si>
  <si>
    <t>Joyce ONE FF fejpánt</t>
  </si>
  <si>
    <t>FEJPÁNT CARA FF</t>
  </si>
  <si>
    <t>FEJPÁNT JOYCEEASY FF</t>
  </si>
  <si>
    <t>FEJPÁNT JOYCEEASY NEXT FF</t>
  </si>
  <si>
    <t>FEJPÁNT JOYCE ONE FF</t>
  </si>
  <si>
    <t>WM 25243</t>
  </si>
  <si>
    <t>WM 25606</t>
  </si>
  <si>
    <t>WM 25105</t>
  </si>
  <si>
    <t>WM 25277</t>
  </si>
  <si>
    <t>Maszk kiegészítők</t>
  </si>
  <si>
    <t>4.3.1.</t>
  </si>
  <si>
    <t>Maszkvázak</t>
  </si>
  <si>
    <t>Vázborítás</t>
  </si>
  <si>
    <t>Maszkcső és könyök</t>
  </si>
  <si>
    <t>Kilégző adapter</t>
  </si>
  <si>
    <t>LMT 26713</t>
  </si>
  <si>
    <t>Julia maszkcső</t>
  </si>
  <si>
    <t>Amara View maszkcső</t>
  </si>
  <si>
    <t>Nuance maszkcső</t>
  </si>
  <si>
    <t>Tartós kivitelű, rugalmas tartalék fejpánt a maszk stabil és kényelmes rögzítéséhez. A Löwenstein JOYCEeasy orrmaszkok eredeti gyári kiegészítője.</t>
  </si>
  <si>
    <t>Intelligens kialakítású, tartós tartalék fejpánt, amely szinte minden fejformához tökéletesen idomul. A Löwenstein JOYCEone maszkcsalád eredeti gyári kiegészítője.</t>
  </si>
  <si>
    <r>
      <rPr>
        <b/>
        <sz val="11"/>
        <color theme="1"/>
        <rFont val="Calibri"/>
        <family val="2"/>
        <charset val="238"/>
        <scheme val="minor"/>
      </rPr>
      <t>Funkció:</t>
    </r>
    <r>
      <rPr>
        <sz val="11"/>
        <color theme="1"/>
        <rFont val="Calibri"/>
        <family val="2"/>
        <charset val="238"/>
        <scheme val="minor"/>
      </rPr>
      <t xml:space="preserve">
A Löwenstein JOYCEone fejpánt a maszkrendszer egyszerűségét és hatékonyságát támogatja. Feladata, hogy stabil és kényelmes tartást biztosítson mind az orr-, mind az arcmaszk változatok számára. A speciális alapanyag rugalmasan követi a fej vonalát, egyenletesen elosztva a nyomást, így minimalizálva a bőrirritációt és biztosítva a zavartalan terápiát az éjszaka folyamán.
</t>
    </r>
    <r>
      <rPr>
        <b/>
        <sz val="11"/>
        <color theme="1"/>
        <rFont val="Calibri"/>
        <family val="2"/>
        <charset val="238"/>
        <scheme val="minor"/>
      </rPr>
      <t>Használat:</t>
    </r>
    <r>
      <rPr>
        <sz val="11"/>
        <color theme="1"/>
        <rFont val="Calibri"/>
        <family val="2"/>
        <charset val="238"/>
        <scheme val="minor"/>
      </rPr>
      <t xml:space="preserve">
Helyezze a fejpántot a fejére, majd rögzítse a pántvégeket a maszk vázán található rögzítőkhöz. A tépőzárak segítségével, a két oldal közötti szimmetriára ügyelve állítsa be a kívánt feszességet. Az optimális beállítás esetén a maszkpárna stabilan illeszkedik, de nem gyakorol túlzott nyomást az arcra.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a fejpántot hetente legalább egyszer javasolt tisztítani. Használjon langyos mosogatószeres vizet, kézzel mossa át, majd alaposan öblítse ki. Levegőn szárítsa meg, közvetlen hőtől védve. Kerülje az öblítő használatát, mert az károsíthatja a pánt rugalmas szerkezetét!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Mikor cserélje korábban?</t>
    </r>
    <r>
      <rPr>
        <sz val="11"/>
        <color theme="1"/>
        <rFont val="Calibri"/>
        <family val="2"/>
        <charset val="238"/>
        <scheme val="minor"/>
      </rPr>
      <t xml:space="preserve"> Ha a pánt anyaga kinyúlik, a tépőzárak tapadása gyengül, vagy a maszk stabilitása már nem megfelelő az éjszakai mozgás közben, a fejpántot le kell cserélni. Az elhasználódott fejpánt miatti túlfeszítés kényelmetlenséget és bőrpírt okozhat.
</t>
    </r>
    <r>
      <rPr>
        <b/>
        <sz val="11"/>
        <color theme="1"/>
        <rFont val="Calibri"/>
        <family val="2"/>
        <charset val="238"/>
        <scheme val="minor"/>
      </rPr>
      <t>Kompatibilitás:</t>
    </r>
    <r>
      <rPr>
        <sz val="11"/>
        <color theme="1"/>
        <rFont val="Calibri"/>
        <family val="2"/>
        <charset val="238"/>
        <scheme val="minor"/>
      </rPr>
      <t xml:space="preserve">
Löwenstein JOYCEone orrmaszk,
Löwenstein JOYCEone Full Face arcmaszk.
</t>
    </r>
    <r>
      <rPr>
        <b/>
        <sz val="11"/>
        <color theme="1"/>
        <rFont val="Calibri"/>
        <family val="2"/>
        <charset val="238"/>
        <scheme val="minor"/>
      </rPr>
      <t>Méret:</t>
    </r>
    <r>
      <rPr>
        <sz val="11"/>
        <color theme="1"/>
        <rFont val="Calibri"/>
        <family val="2"/>
        <charset val="238"/>
        <scheme val="minor"/>
      </rPr>
      <t xml:space="preserve"> Univerzális (One Size).</t>
    </r>
  </si>
  <si>
    <r>
      <rPr>
        <b/>
        <sz val="11"/>
        <color theme="1"/>
        <rFont val="Calibri"/>
        <family val="2"/>
        <charset val="238"/>
        <scheme val="minor"/>
      </rPr>
      <t>Funkció:</t>
    </r>
    <r>
      <rPr>
        <sz val="11"/>
        <color theme="1"/>
        <rFont val="Calibri"/>
        <family val="2"/>
        <charset val="238"/>
        <scheme val="minor"/>
      </rPr>
      <t xml:space="preserve">
A Löwenstein JOYCEeasy orrmaszk fejpánt felel a maszk pontos és stabil pozicionálásáért. Feladata a terápiás nyomás egyenletes elosztása a fejen, minimalizálva a bőrirritációt és a nyomáspontok kialakulását. A speciális szövésű, bőrbarát anyag biztosítja a maszk rögzítését még intenzív éjszakai mozgás esetén is, fenntartva a terápiás hatékonyságot.
</t>
    </r>
    <r>
      <rPr>
        <b/>
        <sz val="11"/>
        <color theme="1"/>
        <rFont val="Calibri"/>
        <family val="2"/>
        <charset val="238"/>
        <scheme val="minor"/>
      </rPr>
      <t>Használat:</t>
    </r>
    <r>
      <rPr>
        <sz val="11"/>
        <color theme="1"/>
        <rFont val="Calibri"/>
        <family val="2"/>
        <charset val="238"/>
        <scheme val="minor"/>
      </rPr>
      <t xml:space="preserve">
A fejpánt rögzítése a maszk vázán található kapcsok vagy rögzítőfülek segítségével történik. A tépőzárakkal fokozatosan, a két oldal közötti szimmetriára ügyelve állítsa be az optimális feszességet. A fejpánt akkor van jól beállítva, ha a maszkpárna stabilan illeszkedik az archoz, de nem okoz feszülő, kényelmetlen érzetet.
</t>
    </r>
    <r>
      <rPr>
        <b/>
        <sz val="11"/>
        <color theme="1"/>
        <rFont val="Calibri"/>
        <family val="2"/>
        <charset val="238"/>
        <scheme val="minor"/>
      </rPr>
      <t>Tisztítás:</t>
    </r>
    <r>
      <rPr>
        <sz val="11"/>
        <color theme="1"/>
        <rFont val="Calibri"/>
        <family val="2"/>
        <charset val="238"/>
        <scheme val="minor"/>
      </rPr>
      <t xml:space="preserve">
A higiénia és a hosszú élettartam érdekében a fejpántot hetente legalább egyszer javasolt tisztítani. Használjon langyos mosogatószeres vizet, kézzel mossa át az anyagot, majd alaposan öblítse ki. Levegőn szárítsa meg, közvetlen hőtől (fűtőtest, napsugárzás) távol. Ne használjon öblítőt, mert az károsíthatja a szálak rugalmasságát és a tépőzárak tapadását!
</t>
    </r>
    <r>
      <rPr>
        <b/>
        <sz val="11"/>
        <color theme="1"/>
        <rFont val="Calibri"/>
        <family val="2"/>
        <charset val="238"/>
        <scheme val="minor"/>
      </rPr>
      <t xml:space="preserve">Csereperiódus – A páciens felelőssége:
</t>
    </r>
    <r>
      <rPr>
        <sz val="11"/>
        <color theme="1"/>
        <rFont val="Calibri"/>
        <family val="2"/>
        <charset val="238"/>
        <scheme val="minor"/>
      </rPr>
      <t>A maszkot higiéniai okokból évente javasolt cserélni, azonban az optimális illeszkedés és kényelem fenntartása érdekében a fejpánt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 fejpánt elveszíti rugalmasságát (kinyúlik), a tépőzárak már nem rögzítenek biztonságosan, vagy az anyag láthatóan elhasználódik, a maszk stabilitása romlik. Ha a szivárgásmentesség érdekében folyamatosan túl kell húznia a pántokat, a fejpánt megérett az azonnali cserére.
</t>
    </r>
    <r>
      <rPr>
        <b/>
        <sz val="11"/>
        <color theme="1"/>
        <rFont val="Calibri"/>
        <family val="2"/>
        <charset val="238"/>
        <scheme val="minor"/>
      </rPr>
      <t xml:space="preserve">Kompatibilitás: 
</t>
    </r>
    <r>
      <rPr>
        <sz val="11"/>
        <color theme="1"/>
        <rFont val="Calibri"/>
        <family val="2"/>
        <charset val="238"/>
        <scheme val="minor"/>
      </rPr>
      <t xml:space="preserve">Löwenstein JOYCEeasy orrmaszk
</t>
    </r>
    <r>
      <rPr>
        <b/>
        <sz val="11"/>
        <color theme="1"/>
        <rFont val="Calibri"/>
        <family val="2"/>
        <charset val="238"/>
        <scheme val="minor"/>
      </rPr>
      <t>Méret:</t>
    </r>
    <r>
      <rPr>
        <sz val="11"/>
        <color theme="1"/>
        <rFont val="Calibri"/>
        <family val="2"/>
        <charset val="238"/>
        <scheme val="minor"/>
      </rPr>
      <t xml:space="preserve"> Univerzális (One Size).</t>
    </r>
  </si>
  <si>
    <t>Megerősített, ergonomikus kialakítású tartalék fejpánt a stabil és csendes terápia érdekében. A Löwenstein JOYCEeasy NEXT arcmaszk eredeti gyári kiegészítője.</t>
  </si>
  <si>
    <r>
      <rPr>
        <b/>
        <sz val="11"/>
        <color theme="1"/>
        <rFont val="Calibri"/>
        <family val="2"/>
        <charset val="238"/>
        <scheme val="minor"/>
      </rPr>
      <t>Funkció:</t>
    </r>
    <r>
      <rPr>
        <sz val="11"/>
        <color theme="1"/>
        <rFont val="Calibri"/>
        <family val="2"/>
        <charset val="238"/>
        <scheme val="minor"/>
      </rPr>
      <t xml:space="preserve">
A Löwenstein JOYCEeasy NEXT Full Face fejpánt a legmodernebb rögzítési technológiát alkalmazza, hogy még magasabb terápiás nyomás mellett is stabilan tartsa az arcmaszkot. Feladata a nyomás egyenletes elosztása a fejen, megakadályozva a maszk elmozdulását és a szivárgást. A puha, mégis formatartó anyag biztosítja a maximális kényelmet és a bőr irritációmentességét egész éjszaka.
</t>
    </r>
    <r>
      <rPr>
        <b/>
        <sz val="11"/>
        <color theme="1"/>
        <rFont val="Calibri"/>
        <family val="2"/>
        <charset val="238"/>
        <scheme val="minor"/>
      </rPr>
      <t>Használat:</t>
    </r>
    <r>
      <rPr>
        <sz val="11"/>
        <color theme="1"/>
        <rFont val="Calibri"/>
        <family val="2"/>
        <charset val="238"/>
        <scheme val="minor"/>
      </rPr>
      <t xml:space="preserve">
Helyezze a fejpántot a fejére, majd csatlakoztassa a pántvégeket a maszk vázához. A tépőzárak segítségével, a két oldal közötti szimmetriára szigorúan ügyelve állítsa be az optimális feszességet. A fejpánt akkor van jól beállítva, ha a maszkpárna pontosan illeszkedik az arcra, de nem szorítja azt, és nem hagy mély nyomokat a bőrön.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a fejpántot hetente legalább egyszer javasolt tisztítani. Használjon langyos mosogatószeres vizet, kézzel mossa át az anyagot, majd alaposan öblítse ki. Levegőn szárítsa meg, közvetlen hőtől (fűtőtest, tűző nap) védve. Ne tegye szárítógépbe és ne használjon öblítőt, mert az károsíthatja a szálak rugalmasságát és a tépőzárak tapadását!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 Mikor cserélje korábban?</t>
    </r>
    <r>
      <rPr>
        <sz val="11"/>
        <color theme="1"/>
        <rFont val="Calibri"/>
        <family val="2"/>
        <charset val="238"/>
        <scheme val="minor"/>
      </rPr>
      <t xml:space="preserve"> Amennyiben a fejpánt kinyúlik, a tépőzárak tapadása érezhetően gyengül, vagy a maszk stabilitása megszűnik az éjszakai mozgás hatására. Ha a szivárgásmentesség eléréséhez folyamatosan "túlhúzza" a pántokat, az alkatrész megérett az azonnali cserére.
</t>
    </r>
    <r>
      <rPr>
        <b/>
        <sz val="11"/>
        <color theme="1"/>
        <rFont val="Calibri"/>
        <family val="2"/>
        <charset val="238"/>
        <scheme val="minor"/>
      </rPr>
      <t>Kompatibilitás:</t>
    </r>
    <r>
      <rPr>
        <sz val="11"/>
        <color theme="1"/>
        <rFont val="Calibri"/>
        <family val="2"/>
        <charset val="238"/>
        <scheme val="minor"/>
      </rPr>
      <t xml:space="preserve">
Kizárólag a Löwenstein JOYCEeasy NEXT Full Face arcmaszkhoz használható.
</t>
    </r>
    <r>
      <rPr>
        <b/>
        <sz val="11"/>
        <color theme="1"/>
        <rFont val="Calibri"/>
        <family val="2"/>
        <charset val="238"/>
        <scheme val="minor"/>
      </rPr>
      <t xml:space="preserve">Méret: </t>
    </r>
    <r>
      <rPr>
        <sz val="11"/>
        <color theme="1"/>
        <rFont val="Calibri"/>
        <family val="2"/>
        <charset val="238"/>
        <scheme val="minor"/>
      </rPr>
      <t>Univerzális (One Size).</t>
    </r>
  </si>
  <si>
    <t>Karcsú, mégis rendkívül stabil tartást biztosító tartalék fejpánt a zavartalan alvásért. A Löwenstein LENA arcmaszk eredeti gyári kiegészítője.</t>
  </si>
  <si>
    <r>
      <rPr>
        <b/>
        <sz val="11"/>
        <color theme="1"/>
        <rFont val="Calibri"/>
        <family val="2"/>
        <charset val="238"/>
        <scheme val="minor"/>
      </rPr>
      <t>Funkció:</t>
    </r>
    <r>
      <rPr>
        <sz val="11"/>
        <color theme="1"/>
        <rFont val="Calibri"/>
        <family val="2"/>
        <charset val="238"/>
        <scheme val="minor"/>
      </rPr>
      <t xml:space="preserve">
A Löwenstein LENA Full Face fejpánt kifejezetten a LENA maszkcsalád modern, minimalista kialakításához lett tervezve. Feladata a maszk stabil pozicionálása anélkül, hogy korlátozná a látómezőt vagy zavaró nyomáspontokat alakítana ki a tarkónál. A légáteresztő, bőrbarát alapanyag biztosítja az optimális szellőzést és a stabilitást még aktívabb éjszakai mozgás esetén is.
</t>
    </r>
    <r>
      <rPr>
        <b/>
        <sz val="11"/>
        <color theme="1"/>
        <rFont val="Calibri"/>
        <family val="2"/>
        <charset val="238"/>
        <scheme val="minor"/>
      </rPr>
      <t>Használat:</t>
    </r>
    <r>
      <rPr>
        <sz val="11"/>
        <color theme="1"/>
        <rFont val="Calibri"/>
        <family val="2"/>
        <charset val="238"/>
        <scheme val="minor"/>
      </rPr>
      <t xml:space="preserve">
Rögzítse a fejpánt felső és alsó pántjait a maszk vázán található csatlakozási pontokhoz. A tépőzárakkal fokozatosan, a szimmetriára ügyelve állítsa be a feszességet. A fejpánt akkor nyújt tökéletes komfortot, ha a maszkpárna szivárgásmentesen illeszkedik az arcra, de a pántok alatt még kényelmesen elmozdul a bőr.
</t>
    </r>
    <r>
      <rPr>
        <b/>
        <sz val="11"/>
        <color theme="1"/>
        <rFont val="Calibri"/>
        <family val="2"/>
        <charset val="238"/>
        <scheme val="minor"/>
      </rPr>
      <t>Tisztítás:</t>
    </r>
    <r>
      <rPr>
        <sz val="11"/>
        <color theme="1"/>
        <rFont val="Calibri"/>
        <family val="2"/>
        <charset val="238"/>
        <scheme val="minor"/>
      </rPr>
      <t xml:space="preserve">
A higiénia és a hosszú élettartam érdekében a fejpántot hetente legalább egyszer javasolt tisztítani. Használjon langyos mosogatószeres vizet, kézzel mossa át, majd alaposan öblítse ki. Levegőn szárítsa meg, közvetlen hőtől védve. Kerülje az öblítő használatát, mert az idő előtt meglágyíthatja a pánt szerkezetét, ami kinyúláshoz vezethet.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 Mikor cserélje korábban?</t>
    </r>
    <r>
      <rPr>
        <sz val="11"/>
        <color theme="1"/>
        <rFont val="Calibri"/>
        <family val="2"/>
        <charset val="238"/>
        <scheme val="minor"/>
      </rPr>
      <t xml:space="preserve"> Ha a pánt anyaga elveszíti rugalmasságát, a tépőzárak elengednek, vagy az anyag szélei kopni kezdenek. Az elhasználódott fejpánt miatti pontatlan illeszkedés rontja a terápia hatékonyságát és kényelmét.
</t>
    </r>
    <r>
      <rPr>
        <b/>
        <sz val="11"/>
        <color theme="1"/>
        <rFont val="Calibri"/>
        <family val="2"/>
        <charset val="238"/>
        <scheme val="minor"/>
      </rPr>
      <t>Kompatibilitás:</t>
    </r>
    <r>
      <rPr>
        <sz val="11"/>
        <color theme="1"/>
        <rFont val="Calibri"/>
        <family val="2"/>
        <charset val="238"/>
        <scheme val="minor"/>
      </rPr>
      <t xml:space="preserve">
Kizárólag a Löwenstein LENA Full Face arcmaszkhoz használható.
</t>
    </r>
    <r>
      <rPr>
        <b/>
        <sz val="11"/>
        <color theme="1"/>
        <rFont val="Calibri"/>
        <family val="2"/>
        <charset val="238"/>
        <scheme val="minor"/>
      </rPr>
      <t xml:space="preserve">Méret: </t>
    </r>
    <r>
      <rPr>
        <sz val="11"/>
        <color theme="1"/>
        <rFont val="Calibri"/>
        <family val="2"/>
        <charset val="238"/>
        <scheme val="minor"/>
      </rPr>
      <t>Univerzális (One Size).</t>
    </r>
  </si>
  <si>
    <t>Rugalmas, bőrbarát szilikonból készült tartószerkezet, amely a DreamWear maszkrendszer alapját képezi. Eredeti gyári kiegészítő.</t>
  </si>
  <si>
    <t>? 1116744</t>
  </si>
  <si>
    <r>
      <rPr>
        <b/>
        <sz val="11"/>
        <color theme="1"/>
        <rFont val="Calibri"/>
        <family val="2"/>
        <charset val="238"/>
        <scheme val="minor"/>
      </rPr>
      <t>Funkció:</t>
    </r>
    <r>
      <rPr>
        <sz val="11"/>
        <color theme="1"/>
        <rFont val="Calibri"/>
        <family val="2"/>
        <charset val="238"/>
        <scheme val="minor"/>
      </rPr>
      <t xml:space="preserve">
A Philips DreamWear szilikon maszkváz egy innovatív, üreges kialakítású keret, amelyen keresztül a terápiás levegő a maszkpárnához jut. Feladata a maszk stabil és kényelmes tartása, miközben minimalizálja az arccal való érintkezést. A puha szilikon anyag rugalmasan követi az arc formáját, lehetővé téve a kényelmes alvást bármilyen pozícióban, beleértve az oldalfekvést is.
</t>
    </r>
    <r>
      <rPr>
        <b/>
        <sz val="11"/>
        <color theme="1"/>
        <rFont val="Calibri"/>
        <family val="2"/>
        <charset val="238"/>
        <scheme val="minor"/>
      </rPr>
      <t>Használat:</t>
    </r>
    <r>
      <rPr>
        <sz val="11"/>
        <color theme="1"/>
        <rFont val="Calibri"/>
        <family val="2"/>
        <charset val="238"/>
        <scheme val="minor"/>
      </rPr>
      <t xml:space="preserve">
A maszkváz összeszerelése rendkívül egyszerű: csatlakoztassa a maszkpárnát az alsó részhez, a könyökidomot a váz tetején lévő nyíláshoz, végül rögzítse a fejpántot a két oldalsó fülhöz. Ügyeljen rá, hogy a vázon található jelölések (L/R) és a méretjelzés a megfelelő helyre kerüljenek. A beállítás során törekedjen a szimmetriára, hogy a váz ne húzza el a maszkot egyik irányba sem.
</t>
    </r>
    <r>
      <rPr>
        <b/>
        <sz val="11"/>
        <color theme="1"/>
        <rFont val="Calibri"/>
        <family val="2"/>
        <charset val="238"/>
        <scheme val="minor"/>
      </rPr>
      <t>Tisztítás:</t>
    </r>
    <r>
      <rPr>
        <sz val="11"/>
        <color theme="1"/>
        <rFont val="Calibri"/>
        <family val="2"/>
        <charset val="238"/>
        <scheme val="minor"/>
      </rPr>
      <t xml:space="preserve">
A higiénia és az anyag rugalmasságának megőrzése érdekében a maszkvázat hetente legalább egyszer javasolt alaposan megtisztítani. Használjon langyos mosogatószeres vizet, öblítse át a belső csatornákat is, majd hagyja levegőn teljesen megszáradni. Ne használjon alkoholt vagy agresszív vegyszereket, és védje a közvetlen napfénytől vagy sugárzó hőtől.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maszkváz 6–9 havi cseréje indokolt lehet.
   </t>
    </r>
    <r>
      <rPr>
        <b/>
        <sz val="11"/>
        <color theme="1"/>
        <rFont val="Calibri"/>
        <family val="2"/>
        <charset val="238"/>
        <scheme val="minor"/>
      </rPr>
      <t xml:space="preserve"> » Mikor cserélje korábban? </t>
    </r>
    <r>
      <rPr>
        <sz val="11"/>
        <color theme="1"/>
        <rFont val="Calibri"/>
        <family val="2"/>
        <charset val="238"/>
        <scheme val="minor"/>
      </rPr>
      <t xml:space="preserve">Amennyiben a szilikon anyaga láthatóan elszíneződik, megkeményedik, repedések jelennek meg rajta, vagy a csatlakozási pontoknál levegőszivárgás tapasztalható, a maszkváz megérett az azonnali cserére.
</t>
    </r>
    <r>
      <rPr>
        <b/>
        <sz val="11"/>
        <color theme="1"/>
        <rFont val="Calibri"/>
        <family val="2"/>
        <charset val="238"/>
        <scheme val="minor"/>
      </rPr>
      <t>Kompatibilitás:</t>
    </r>
    <r>
      <rPr>
        <sz val="11"/>
        <color theme="1"/>
        <rFont val="Calibri"/>
        <family val="2"/>
        <charset val="238"/>
        <scheme val="minor"/>
      </rPr>
      <t xml:space="preserve">
Philips DreamWear (Nasal, Pillows és Full Face) maszkpárnákkal egyaránt használható.
</t>
    </r>
    <r>
      <rPr>
        <b/>
        <sz val="11"/>
        <color theme="1"/>
        <rFont val="Calibri"/>
        <family val="2"/>
        <charset val="238"/>
        <scheme val="minor"/>
      </rPr>
      <t>Elérhető méretek:</t>
    </r>
    <r>
      <rPr>
        <sz val="11"/>
        <color theme="1"/>
        <rFont val="Calibri"/>
        <family val="2"/>
        <charset val="238"/>
        <scheme val="minor"/>
      </rPr>
      <t xml:space="preserve"> S/M, L </t>
    </r>
  </si>
  <si>
    <t>1 db maszkváz</t>
  </si>
  <si>
    <t>1116720; 1116741; 114647; 1116751; 1116754</t>
  </si>
  <si>
    <t>maszk, szilikon, orrillesztékes  szilikon, fejpánt, vázborítás</t>
  </si>
  <si>
    <t>Puha, selymes tapintású textil tartószerkezet a természetesebb érzetért. A Philips Wisp orrmaszk eredeti gyári kiegészítője.</t>
  </si>
  <si>
    <r>
      <rPr>
        <b/>
        <sz val="11"/>
        <color theme="1"/>
        <rFont val="Calibri"/>
        <family val="2"/>
        <charset val="238"/>
        <scheme val="minor"/>
      </rPr>
      <t>Funkció:</t>
    </r>
    <r>
      <rPr>
        <sz val="11"/>
        <color theme="1"/>
        <rFont val="Calibri"/>
        <family val="2"/>
        <charset val="238"/>
        <scheme val="minor"/>
      </rPr>
      <t xml:space="preserve">
A Philips Wisp textil maszkváz a maszk szilikon párnájának stabil rögzítéséért felel, miközben rendkívüli kényelmet biztosít az arcnak. Feladata a maszk stabil pozicionálása anélkül, hogy merev műanyag alkatrészek érintenék a bőrt. A megfordítható textil borítás egyik oldala selymesebb, a másik puhább tapintású, így a páciens kiválaszthatja a számára kellemesebb érzetet.
</t>
    </r>
    <r>
      <rPr>
        <b/>
        <sz val="11"/>
        <color theme="1"/>
        <rFont val="Calibri"/>
        <family val="2"/>
        <charset val="238"/>
        <scheme val="minor"/>
      </rPr>
      <t>Használat:</t>
    </r>
    <r>
      <rPr>
        <sz val="11"/>
        <color theme="1"/>
        <rFont val="Calibri"/>
        <family val="2"/>
        <charset val="238"/>
        <scheme val="minor"/>
      </rPr>
      <t xml:space="preserve">
A maszkváz cseréje során pattintsa be a Wisp szilikon párnát a váz közepén található nyílásba, majd fűzze át a fejpánt végeit a váz szélein található rögzítőpontokon. A tépőzárakkal, a szimmetriára ügyelve állítsa be a feszességet, hogy a maszkpárna pontosan illeszkedjen az orr köré, de ne nyomja azt kényelmetlenül.
</t>
    </r>
    <r>
      <rPr>
        <b/>
        <sz val="11"/>
        <color theme="1"/>
        <rFont val="Calibri"/>
        <family val="2"/>
        <charset val="238"/>
        <scheme val="minor"/>
      </rPr>
      <t>Tisztítás:</t>
    </r>
    <r>
      <rPr>
        <sz val="11"/>
        <color theme="1"/>
        <rFont val="Calibri"/>
        <family val="2"/>
        <charset val="238"/>
        <scheme val="minor"/>
      </rPr>
      <t xml:space="preserve">
A higiénia érdekében a textil vázat hetente javasolt kézzel kimosni. Használjon langyos mosogatószeres vizet, alaposan öblítse ki, majd fektetve hagyja levegőn megszáradni. Ne tegye szárítógépbe, ne vasalja, és kerülje az öblítő használatát, hogy az anyag megőrizze tartását és ne irritálja az arcbőrt.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maszkváz 6–9 havi cseréje indokolt lehet.
   </t>
    </r>
    <r>
      <rPr>
        <b/>
        <sz val="11"/>
        <color theme="1"/>
        <rFont val="Calibri"/>
        <family val="2"/>
        <charset val="238"/>
        <scheme val="minor"/>
      </rPr>
      <t> » Mikor cserélje korábban?</t>
    </r>
    <r>
      <rPr>
        <sz val="11"/>
        <color theme="1"/>
        <rFont val="Calibri"/>
        <family val="2"/>
        <charset val="238"/>
        <scheme val="minor"/>
      </rPr>
      <t xml:space="preserve"> Ha a textil anyaga kinyúlik, elveszíti tartását, a varrások mentén sérül, vagy a tépőzárak rögzítési pontjai elhasználódnak, a váz már nem tudja biztosítani a maszk stabilitását, ezért cseréje szükségessé válik.
</t>
    </r>
    <r>
      <rPr>
        <b/>
        <sz val="11"/>
        <color theme="1"/>
        <rFont val="Calibri"/>
        <family val="2"/>
        <charset val="238"/>
        <scheme val="minor"/>
      </rPr>
      <t>Kompatibilitás:</t>
    </r>
    <r>
      <rPr>
        <sz val="11"/>
        <color theme="1"/>
        <rFont val="Calibri"/>
        <family val="2"/>
        <charset val="238"/>
        <scheme val="minor"/>
      </rPr>
      <t xml:space="preserve">
Kizárólag a Philips Wisp orrmaszk szilikon párnáival használható.
</t>
    </r>
    <r>
      <rPr>
        <b/>
        <sz val="11"/>
        <color theme="1"/>
        <rFont val="Calibri"/>
        <family val="2"/>
        <charset val="238"/>
        <scheme val="minor"/>
      </rPr>
      <t>Méret:</t>
    </r>
    <r>
      <rPr>
        <sz val="11"/>
        <color theme="1"/>
        <rFont val="Calibri"/>
        <family val="2"/>
        <charset val="238"/>
        <scheme val="minor"/>
      </rPr>
      <t xml:space="preserve"> Univerzális (One Size).</t>
    </r>
  </si>
  <si>
    <t>Víztiszta, diszkrét megjelenésű és tartós szilikon tartószerkezet. A Philips Wisp orrmaszk eredeti gyári kiegészítője.</t>
  </si>
  <si>
    <r>
      <rPr>
        <b/>
        <sz val="11"/>
        <color theme="1"/>
        <rFont val="Calibri"/>
        <family val="2"/>
        <charset val="238"/>
        <scheme val="minor"/>
      </rPr>
      <t>Funkció:</t>
    </r>
    <r>
      <rPr>
        <sz val="11"/>
        <color theme="1"/>
        <rFont val="Calibri"/>
        <family val="2"/>
        <charset val="238"/>
        <scheme val="minor"/>
      </rPr>
      <t xml:space="preserve">
A Philips Wisp szilikon maszkváz a maszkrendszer stabil alapját adja, biztosítva a szilikon párna pontos illeszkedését az arcon. Feladata a maszk rögzítése a fejpánthoz, miközben átlátszó kialakítása révén diszkrét megjelenést és szinte teljes látómezőt biztosít. A sima felület könnyen tisztítható és higiénikusan tartható.
</t>
    </r>
    <r>
      <rPr>
        <b/>
        <sz val="11"/>
        <color theme="1"/>
        <rFont val="Calibri"/>
        <family val="2"/>
        <charset val="238"/>
        <scheme val="minor"/>
      </rPr>
      <t>Használat:</t>
    </r>
    <r>
      <rPr>
        <sz val="11"/>
        <color theme="1"/>
        <rFont val="Calibri"/>
        <family val="2"/>
        <charset val="238"/>
        <scheme val="minor"/>
      </rPr>
      <t xml:space="preserve">
A maszkváz összeállítása során illessze a Wisp szilikon párnát a váz központi részébe, amíg az stabilan a helyére nem pattan. Csatlakoztassa a fejpántot a váz két oldalához, majd a tépőzárakkal, a szimmetriára ügyelve állítsa be az optimális feszességet. A váz akkor van jól beállítva, ha a maszkpárna szivárgásmentesen illeszkedik, de a váz nem nyomódik kényelmetlenül az arcbőrbe.
</t>
    </r>
    <r>
      <rPr>
        <b/>
        <sz val="11"/>
        <color theme="1"/>
        <rFont val="Calibri"/>
        <family val="2"/>
        <charset val="238"/>
        <scheme val="minor"/>
      </rPr>
      <t>Tisztítás:</t>
    </r>
    <r>
      <rPr>
        <sz val="11"/>
        <color theme="1"/>
        <rFont val="Calibri"/>
        <family val="2"/>
        <charset val="238"/>
        <scheme val="minor"/>
      </rPr>
      <t xml:space="preserve">
A higiénia megőrzése érdekében a szilikon vázat naponta vagy minden második nap javasolt áttörölni vagy elmosni. Használjon langyos mosogatószeres vizet, öblítse le, majd hagyja levegőn megszáradni. Ne használjon alkoholtartalmú tisztítószereket, mert azok idővel homályossá és merevvé tehetik a szilikont.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maszkváz 6–9 havi cseréje indokolt lehet.
    </t>
    </r>
    <r>
      <rPr>
        <b/>
        <sz val="11"/>
        <color theme="1"/>
        <rFont val="Calibri"/>
        <family val="2"/>
        <charset val="238"/>
        <scheme val="minor"/>
      </rPr>
      <t>» Mikor cserélje korábban?</t>
    </r>
    <r>
      <rPr>
        <sz val="11"/>
        <color theme="1"/>
        <rFont val="Calibri"/>
        <family val="2"/>
        <charset val="238"/>
        <scheme val="minor"/>
      </rPr>
      <t xml:space="preserve"> Ha a szilikon elszíneződik (megsárgul), anyaga megkeményedik vagy repedezni kezd a pántok rögzítési pontjainál, a váz stabilitása és kényelme jelentősen csökken, ezért az alkatrészt ki kell cserélni.
</t>
    </r>
    <r>
      <rPr>
        <b/>
        <sz val="11"/>
        <color theme="1"/>
        <rFont val="Calibri"/>
        <family val="2"/>
        <charset val="238"/>
        <scheme val="minor"/>
      </rPr>
      <t>Kompatibilitás:</t>
    </r>
    <r>
      <rPr>
        <sz val="11"/>
        <color theme="1"/>
        <rFont val="Calibri"/>
        <family val="2"/>
        <charset val="238"/>
        <scheme val="minor"/>
      </rPr>
      <t xml:space="preserve">
Kizárólag a Philips Wisp orrmaszk szilikon párnáival használható.
</t>
    </r>
    <r>
      <rPr>
        <b/>
        <sz val="11"/>
        <color theme="1"/>
        <rFont val="Calibri"/>
        <family val="2"/>
        <charset val="238"/>
        <scheme val="minor"/>
      </rPr>
      <t>Méret:</t>
    </r>
    <r>
      <rPr>
        <sz val="11"/>
        <color theme="1"/>
        <rFont val="Calibri"/>
        <family val="2"/>
        <charset val="238"/>
        <scheme val="minor"/>
      </rPr>
      <t xml:space="preserve"> Univerzális (One Size).</t>
    </r>
  </si>
  <si>
    <t>1 db vázborítás</t>
  </si>
  <si>
    <t>1 db maszkcső és könyök</t>
  </si>
  <si>
    <t>1 db könyök és könyök</t>
  </si>
  <si>
    <t>1 db kilégző adapter</t>
  </si>
  <si>
    <t>1094060; 1094087; 1094078; 1105624</t>
  </si>
  <si>
    <t>1094061; 1094087; 1094078; 1105624</t>
  </si>
  <si>
    <t>Selymes tapintású textil huzat a DreamWear szilikon vázhoz a még nagyobb kényelemért és az arcbőr védelméért.</t>
  </si>
  <si>
    <r>
      <rPr>
        <b/>
        <sz val="11"/>
        <color theme="1"/>
        <rFont val="Calibri"/>
        <family val="2"/>
        <charset val="238"/>
        <scheme val="minor"/>
      </rPr>
      <t>Funkció:</t>
    </r>
    <r>
      <rPr>
        <sz val="11"/>
        <color theme="1"/>
        <rFont val="Calibri"/>
        <family val="2"/>
        <charset val="238"/>
        <scheme val="minor"/>
      </rPr>
      <t xml:space="preserve">
A Philips DreamWear puha vázborítás feladata, hogy extra kényelmi réteget biztosítson a szilikon váz és az arcbőr között. Segít megelőzni a pántnyomok kialakulását, és selymes érzetet nyújt az érzékenyebb bőrű páciensek számára is. Használatával a maszkváz viselése még természetesebbé válik, miközben a rögzítés stabilitása változatlan marad.
</t>
    </r>
    <r>
      <rPr>
        <b/>
        <sz val="11"/>
        <color theme="1"/>
        <rFont val="Calibri"/>
        <family val="2"/>
        <charset val="238"/>
        <scheme val="minor"/>
      </rPr>
      <t>Használat:</t>
    </r>
    <r>
      <rPr>
        <sz val="11"/>
        <color theme="1"/>
        <rFont val="Calibri"/>
        <family val="2"/>
        <charset val="238"/>
        <scheme val="minor"/>
      </rPr>
      <t xml:space="preserve">
Rögzítse a textil borítást a DreamWear szilikon váz két oldalsó szárán úgy, hogy a tépőzár kívül legyen. Ügyeljen a szimmetriára, hogy mindkét oldalon ugyanabban a magasságban helyezkedjenek el a borítások. 
</t>
    </r>
    <r>
      <rPr>
        <b/>
        <sz val="11"/>
        <color theme="1"/>
        <rFont val="Calibri"/>
        <family val="2"/>
        <charset val="238"/>
        <scheme val="minor"/>
      </rPr>
      <t>Tisztítás:</t>
    </r>
    <r>
      <rPr>
        <sz val="11"/>
        <color theme="1"/>
        <rFont val="Calibri"/>
        <family val="2"/>
        <charset val="238"/>
        <scheme val="minor"/>
      </rPr>
      <t xml:space="preserve">
A higiénia érdekében a vázborítást hetente javasolt kimosni. Használjon langyos mosogatószeres vizet, kézzel mossa át, majd hagyja levegőn megszáradni. Kerülje az öblítő használatát, hogy az anyag megőrizze bőrbarát tulajdonságait.
</t>
    </r>
    <r>
      <rPr>
        <b/>
        <sz val="11"/>
        <color theme="1"/>
        <rFont val="Calibri"/>
        <family val="2"/>
        <charset val="238"/>
        <scheme val="minor"/>
      </rPr>
      <t>Csereperiódus – A páciens felelőssége:</t>
    </r>
    <r>
      <rPr>
        <sz val="11"/>
        <color theme="1"/>
        <rFont val="Calibri"/>
        <family val="2"/>
        <charset val="238"/>
        <scheme val="minor"/>
      </rPr>
      <t xml:space="preserve">
A higiénia és a kényelem fenntartása érdekében a borítás évenkénti cseréje javasolt.
</t>
    </r>
    <r>
      <rPr>
        <b/>
        <sz val="11"/>
        <color theme="1"/>
        <rFont val="Calibri"/>
        <family val="2"/>
        <charset val="238"/>
        <scheme val="minor"/>
      </rPr>
      <t xml:space="preserve">   » Mikor cserélje korábban? </t>
    </r>
    <r>
      <rPr>
        <sz val="11"/>
        <color theme="1"/>
        <rFont val="Calibri"/>
        <family val="2"/>
        <charset val="238"/>
        <scheme val="minor"/>
      </rPr>
      <t xml:space="preserve">Ha az anyag elvékonyodik, elbolyhosodik vagy a tépőzár már nem rögzít megfelelően, a borítás cseréje indokolt lehet.
</t>
    </r>
    <r>
      <rPr>
        <b/>
        <sz val="11"/>
        <color theme="1"/>
        <rFont val="Calibri"/>
        <family val="2"/>
        <charset val="238"/>
        <scheme val="minor"/>
      </rPr>
      <t xml:space="preserve">Kompatibilitás:
</t>
    </r>
    <r>
      <rPr>
        <sz val="11"/>
        <color theme="1"/>
        <rFont val="Calibri"/>
        <family val="2"/>
        <charset val="238"/>
        <scheme val="minor"/>
      </rPr>
      <t>Kizárólag a Philips DreamWear maszkrendszer szilikon vázához használható.</t>
    </r>
  </si>
  <si>
    <t>Megerősített anyagú, kiváló tartósságú univerzális tartalék fejpánt, amely extra stabilitást biztosít az éjszaka során. Számos orrmaszk típussal kompatibilis.</t>
  </si>
  <si>
    <r>
      <rPr>
        <b/>
        <sz val="11"/>
        <color theme="1"/>
        <rFont val="Calibri"/>
        <family val="2"/>
        <charset val="238"/>
        <scheme val="minor"/>
      </rPr>
      <t>Funkció:</t>
    </r>
    <r>
      <rPr>
        <sz val="11"/>
        <color theme="1"/>
        <rFont val="Calibri"/>
        <family val="2"/>
        <charset val="238"/>
        <scheme val="minor"/>
      </rPr>
      <t xml:space="preserve">
A Prémium fejpánt a standard pántoknál robusztusabb, több rétegű anyagból készül, amely hosszan megőrzi rugalmasságát. Feladata, hogy stabilabb tartást biztosítson az orrmaszk számára, minimalizálva a maszk elmozdulását és a szivárgást még intenzív éjszakai mozgás esetén is. A puha belső felület és az egyenletes nyomáselosztás segít megelőzni a pántnyomok és a bőrirritáció kialakulását.
</t>
    </r>
    <r>
      <rPr>
        <b/>
        <sz val="11"/>
        <color theme="1"/>
        <rFont val="Calibri"/>
        <family val="2"/>
        <charset val="238"/>
        <scheme val="minor"/>
      </rPr>
      <t>Használat:</t>
    </r>
    <r>
      <rPr>
        <sz val="11"/>
        <color theme="1"/>
        <rFont val="Calibri"/>
        <family val="2"/>
        <charset val="238"/>
        <scheme val="minor"/>
      </rPr>
      <t xml:space="preserve">
Fűzze át a pántvégeket a maszk vázán található rögzítőpontokon, majd a tépőzárak segítségével, a szimmetriára ügyelve állítsa be az optimális feszességet. A fejpánt akkor nyújt tökéletes komfortot, ha a maszkpárna pontosan illeszkedik az arcra, de a pántok nem vágnak be a bőrbe.
</t>
    </r>
    <r>
      <rPr>
        <b/>
        <sz val="11"/>
        <color theme="1"/>
        <rFont val="Calibri"/>
        <family val="2"/>
        <charset val="238"/>
        <scheme val="minor"/>
      </rPr>
      <t>Tisztítás:</t>
    </r>
    <r>
      <rPr>
        <sz val="11"/>
        <color theme="1"/>
        <rFont val="Calibri"/>
        <family val="2"/>
        <charset val="238"/>
        <scheme val="minor"/>
      </rPr>
      <t xml:space="preserve">
A rugalmasság megőrzése érdekében hetente legalább egyszer javasolt kézzel kimosni langyos mosogatószeres vízben. Alaposan öblítse ki, és fektetve hagyja levegőn megszáradni. Ne használjon öblítőt, és ne tegye szárítógépbe, mert a magas hő károsíthatja a speciális prémium anyagot!
</t>
    </r>
    <r>
      <rPr>
        <b/>
        <sz val="11"/>
        <color theme="1"/>
        <rFont val="Calibri"/>
        <family val="2"/>
        <charset val="238"/>
        <scheme val="minor"/>
      </rPr>
      <t>Csereperiódus – A páciens felelőssége:</t>
    </r>
    <r>
      <rPr>
        <sz val="11"/>
        <color theme="1"/>
        <rFont val="Calibri"/>
        <family val="2"/>
        <charset val="238"/>
        <scheme val="minor"/>
      </rPr>
      <t xml:space="preserve">
Az optimális illeszkedés fenntartása érdekében a fejpánt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az anyag érezhetően kinyúlik, a tépőzárak tartása gyengül, vagy ha a maszk stabilitása már nem megfelelő. Az elhasználódott pánt miatti túlfeszítés kényelmetlenséget és a terápia hatékonyságának romlását okozhatja.
</t>
    </r>
    <r>
      <rPr>
        <b/>
        <sz val="11"/>
        <color theme="1"/>
        <rFont val="Calibri"/>
        <family val="2"/>
        <charset val="238"/>
        <scheme val="minor"/>
      </rPr>
      <t>Kompatibilitás:</t>
    </r>
    <r>
      <rPr>
        <sz val="11"/>
        <color theme="1"/>
        <rFont val="Calibri"/>
        <family val="2"/>
        <charset val="238"/>
        <scheme val="minor"/>
      </rPr>
      <t xml:space="preserve">
Univerzális kialakítás, a legtöbb 4 pontos rögzítésű orrmaszkhoz használható (pl. JOYCE család, CARA, stb.).</t>
    </r>
  </si>
  <si>
    <t>1 db állpánt</t>
  </si>
  <si>
    <t>WM 25610; WM 25520</t>
  </si>
  <si>
    <t>Cara, J.Easy maszk</t>
  </si>
  <si>
    <t>WM 25610; WM 25520; 1104922</t>
  </si>
  <si>
    <t>Cara, J.Easy, Pico maszk</t>
  </si>
  <si>
    <r>
      <rPr>
        <b/>
        <sz val="11"/>
        <color theme="1"/>
        <rFont val="Calibri"/>
        <family val="2"/>
        <charset val="238"/>
        <scheme val="minor"/>
      </rPr>
      <t>Funkció:</t>
    </r>
    <r>
      <rPr>
        <sz val="11"/>
        <color theme="1"/>
        <rFont val="Calibri"/>
        <family val="2"/>
        <charset val="238"/>
        <scheme val="minor"/>
      </rPr>
      <t xml:space="preserve">
A Prémium állpánt feladata, hogy alvás közben gyengéden, de stabilan zárva tartsa a szájat, megakadályozva ezzel a levegő elszökését és a szájnyálkahártya kellemetlen kiszáradását. Kifejezetten orrmaszkot használó páciensek számára készült.
</t>
    </r>
    <r>
      <rPr>
        <b/>
        <sz val="11"/>
        <color theme="1"/>
        <rFont val="Calibri"/>
        <family val="2"/>
        <charset val="238"/>
        <scheme val="minor"/>
      </rPr>
      <t xml:space="preserve">   Fontos szakmai tanács:</t>
    </r>
    <r>
      <rPr>
        <sz val="11"/>
        <color theme="1"/>
        <rFont val="Calibri"/>
        <family val="2"/>
        <charset val="238"/>
        <scheme val="minor"/>
      </rPr>
      <t xml:space="preserve"> Amennyiben az állpánt használata mellett is rendszeresen kinyílik a szája, ébredéskor szájszárazságot tapasztal, vagy a készüléke továbbra is magas szivárgást jelez, javasoljuk, hogy egyeztessen kezelőorvosával egy Full Face (arcmaszk) használatáról. Sok esetben az orrot és szájat egyszerre lefedő maszk jelenti a legbiztonságosabb és leghatékonyabb megoldást a terápiás hatékonyság megőrzéséhez.
</t>
    </r>
    <r>
      <rPr>
        <b/>
        <sz val="11"/>
        <color theme="1"/>
        <rFont val="Calibri"/>
        <family val="2"/>
        <charset val="238"/>
        <scheme val="minor"/>
      </rPr>
      <t>Használat:</t>
    </r>
    <r>
      <rPr>
        <sz val="11"/>
        <color theme="1"/>
        <rFont val="Calibri"/>
        <family val="2"/>
        <charset val="238"/>
        <scheme val="minor"/>
      </rPr>
      <t xml:space="preserve">
Helyezze az állpántot az álla alá, majd a pántokat a feje tetején rögzítse a tépőzár segítségével. Ügyeljen a szimmetriára, hogy a pánt ne csússzon el az éjszaka folyamán. A feszességet úgy állítsa be, hogy az állkapocs stabil maradjon, de a pánt ne szorítson kényelmetlenül. A maszkot az állpánt felhelyezése után tudja a szokásos módon felvenni.
</t>
    </r>
    <r>
      <rPr>
        <b/>
        <sz val="11"/>
        <color theme="1"/>
        <rFont val="Calibri"/>
        <family val="2"/>
        <charset val="238"/>
        <scheme val="minor"/>
      </rPr>
      <t>Tisztítás:</t>
    </r>
    <r>
      <rPr>
        <sz val="11"/>
        <color theme="1"/>
        <rFont val="Calibri"/>
        <family val="2"/>
        <charset val="238"/>
        <scheme val="minor"/>
      </rPr>
      <t xml:space="preserve">
A higiénia megőrzése érdekében az állpántot hetente legalább egyszer javasolt kézzel kimosni. Használjon langyos mosogatószeres vizet, alaposan öblítse ki, majd hagyja levegőn megszáradni. Ne tegye szárítógépbe és ne használjon öblítőt, hogy az anyag megőrizze rugalmasságát és a tépőzár tapadását.
</t>
    </r>
    <r>
      <rPr>
        <b/>
        <sz val="11"/>
        <color theme="1"/>
        <rFont val="Calibri"/>
        <family val="2"/>
        <charset val="238"/>
        <scheme val="minor"/>
      </rPr>
      <t>Csereperiódus – A páciens felelőssége:</t>
    </r>
    <r>
      <rPr>
        <sz val="11"/>
        <color theme="1"/>
        <rFont val="Calibri"/>
        <family val="2"/>
        <charset val="238"/>
        <scheme val="minor"/>
      </rPr>
      <t xml:space="preserve">
Az optimális tartás és kényelem fenntartása érdekében a pánt éventkénti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az anyag megnyúlik, elveszíti rugalmasságát, vagy a tépőzár már nem rögzít biztonságosan, a pánt nem tudja ellátni funkcióját, ezért cseréje szükségessé válik.
</t>
    </r>
    <r>
      <rPr>
        <b/>
        <sz val="11"/>
        <color theme="1"/>
        <rFont val="Calibri"/>
        <family val="2"/>
        <charset val="238"/>
        <scheme val="minor"/>
      </rPr>
      <t>Kompatibilitás:</t>
    </r>
    <r>
      <rPr>
        <sz val="11"/>
        <color theme="1"/>
        <rFont val="Calibri"/>
        <family val="2"/>
        <charset val="238"/>
        <scheme val="minor"/>
      </rPr>
      <t xml:space="preserve">
Univerzális, bármilyen típusú orrmaszkhoz vagy orrillesztékes maszkhoz használható.</t>
    </r>
  </si>
  <si>
    <t>Kényelmes, stabil rögzítést biztosító tartalék fejpánt a nyugodt alváshoz. A Löwenstein Julia orrmaszk eredeti gyári kiegészítője.</t>
  </si>
  <si>
    <r>
      <rPr>
        <b/>
        <sz val="11"/>
        <color rgb="FF0070C0"/>
        <rFont val="Calibri"/>
        <family val="2"/>
        <charset val="238"/>
        <scheme val="minor"/>
      </rPr>
      <t>Funkció:</t>
    </r>
    <r>
      <rPr>
        <sz val="11"/>
        <color rgb="FF0070C0"/>
        <rFont val="Calibri"/>
        <family val="2"/>
        <charset val="238"/>
        <scheme val="minor"/>
      </rPr>
      <t xml:space="preserve">
A Löwenstein Julia fejpánt felel a maszk biztonságos és elmozdulásmentes rögzítéséért. Feladata a terápiás nyomás optimális elosztása, csökkentve az arcra nehezedő nyomást és a bőrirritáció esélyét. A légáteresztő, bőrbarát anyag biztosítja a komfortos viseletet még hosszabb terápiás időszakok alatt is.
</t>
    </r>
    <r>
      <rPr>
        <b/>
        <sz val="11"/>
        <color rgb="FF0070C0"/>
        <rFont val="Calibri"/>
        <family val="2"/>
        <charset val="238"/>
        <scheme val="minor"/>
      </rPr>
      <t>Használat:</t>
    </r>
    <r>
      <rPr>
        <sz val="11"/>
        <color rgb="FF0070C0"/>
        <rFont val="Calibri"/>
        <family val="2"/>
        <charset val="238"/>
        <scheme val="minor"/>
      </rPr>
      <t xml:space="preserve">
Fűzze át a pántvégeket a Julia maszk vázán található rögzítőnyílásokon, majd a tépőzárakkal, a két oldal közötti szimmetriára ügyelve állítsa be az ideális feszességet. A fejpánt akkor nyújt tökéletes tartást, ha a maszkpárna pontosan illeszkedik az orr köré, de a pántok nem vágnak be a bőrbe.
</t>
    </r>
    <r>
      <rPr>
        <b/>
        <sz val="11"/>
        <color rgb="FF0070C0"/>
        <rFont val="Calibri"/>
        <family val="2"/>
        <charset val="238"/>
        <scheme val="minor"/>
      </rPr>
      <t>Tisztítás:</t>
    </r>
    <r>
      <rPr>
        <sz val="11"/>
        <color rgb="FF0070C0"/>
        <rFont val="Calibri"/>
        <family val="2"/>
        <charset val="238"/>
        <scheme val="minor"/>
      </rPr>
      <t xml:space="preserve">
A higiénia és a rugalmasság megőrzése érdekében a fejpántot hetente legalább egyszer javasolt tisztítani. Használjon langyos mosogatószeres vizet, kézzel mossa át az anyagot, majd alaposan öblítse ki. Levegőn hagyja megszáradni, közvetlen hőtől védve. Ne használjon öblítőt, mert az károsíthatja a szálak rugalmasságát és a tépőzárak tapadását!
</t>
    </r>
    <r>
      <rPr>
        <b/>
        <sz val="11"/>
        <color rgb="FF0070C0"/>
        <rFont val="Calibri"/>
        <family val="2"/>
        <charset val="238"/>
        <scheme val="minor"/>
      </rPr>
      <t>Csereperiódus – A páciens felelőssége:</t>
    </r>
    <r>
      <rPr>
        <sz val="11"/>
        <color rgb="FF0070C0"/>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rgb="FF0070C0"/>
        <rFont val="Calibri"/>
        <family val="2"/>
        <charset val="238"/>
        <scheme val="minor"/>
      </rPr>
      <t>» Mikor cserélje korábban?</t>
    </r>
    <r>
      <rPr>
        <sz val="11"/>
        <color rgb="FF0070C0"/>
        <rFont val="Calibri"/>
        <family val="2"/>
        <charset val="238"/>
        <scheme val="minor"/>
      </rPr>
      <t xml:space="preserve"> Amennyiben az anyag kinyúlik, a tépőzárak tartása gyengül, vagy az éjszakai mozgás során a maszk már nem marad stabilan a helyén.
</t>
    </r>
    <r>
      <rPr>
        <b/>
        <sz val="11"/>
        <color rgb="FF0070C0"/>
        <rFont val="Calibri"/>
        <family val="2"/>
        <charset val="238"/>
        <scheme val="minor"/>
      </rPr>
      <t>Kompatibilitás:</t>
    </r>
    <r>
      <rPr>
        <sz val="11"/>
        <color rgb="FF0070C0"/>
        <rFont val="Calibri"/>
        <family val="2"/>
        <charset val="238"/>
        <scheme val="minor"/>
      </rPr>
      <t xml:space="preserve">
Kizárólag a Löwenstein Julia orrmaszkhoz használható.</t>
    </r>
  </si>
  <si>
    <t>Puha, rugalmas tartalék fejpánt a maszkváz stabil és kényelmes rögzítéséhez. A Philips DreamWear maszkcsalád eredeti gyári kiegészítője.</t>
  </si>
  <si>
    <r>
      <rPr>
        <b/>
        <sz val="11"/>
        <color theme="1"/>
        <rFont val="Calibri"/>
        <family val="2"/>
        <charset val="238"/>
        <scheme val="minor"/>
      </rPr>
      <t>Funkció:</t>
    </r>
    <r>
      <rPr>
        <sz val="11"/>
        <color theme="1"/>
        <rFont val="Calibri"/>
        <family val="2"/>
        <charset val="238"/>
        <scheme val="minor"/>
      </rPr>
      <t xml:space="preserve">
A Philips DreamWear fejpánt a DreamWear maszkrendszer stabil rögzítéséért felel. Feladata a szilikon váz pontos pozicionálása a fejen, biztosítva, hogy a maszkpárna még aktív éjszakai mozgás közben is szivárgásmentesen a helyén maradjon. A pánt anyaga egyenletesen osztja el a tartóerőt a tarkón és a fejtetőn, elkerülve a kényelmetlen nyomáspontokat és biztosítva a zavartalan alvást bármilyen pozícióban.
</t>
    </r>
    <r>
      <rPr>
        <b/>
        <sz val="11"/>
        <color theme="1"/>
        <rFont val="Calibri"/>
        <family val="2"/>
        <charset val="238"/>
        <scheme val="minor"/>
      </rPr>
      <t>Használat:</t>
    </r>
    <r>
      <rPr>
        <sz val="11"/>
        <color theme="1"/>
        <rFont val="Calibri"/>
        <family val="2"/>
        <charset val="238"/>
        <scheme val="minor"/>
      </rPr>
      <t xml:space="preserve">
Csatlakoztassa a fejpánt szárát a szilikon vázon található rögzítőfülekhez, majd a tépőzárak segítségével, a szimmetriára ügyelve állítsa be az optimális feszességet. Az ideális beállítás akkor érhető el, ha a maszkpárna stabilan illeszkedik, de a pántok nem feszülnek túl szorosan a tarkónál, és nem hagynak nyomot a bőrön.
</t>
    </r>
    <r>
      <rPr>
        <b/>
        <sz val="11"/>
        <color theme="1"/>
        <rFont val="Calibri"/>
        <family val="2"/>
        <charset val="238"/>
        <scheme val="minor"/>
      </rPr>
      <t>Tisztítás:</t>
    </r>
    <r>
      <rPr>
        <sz val="11"/>
        <color theme="1"/>
        <rFont val="Calibri"/>
        <family val="2"/>
        <charset val="238"/>
        <scheme val="minor"/>
      </rPr>
      <t xml:space="preserve">
A higiénia megőrzése érdekében hetente legalább egyszer kézzel mossa át langyos mosogatószeres vízben. Alaposan öblítse ki, és fektetve hagyja levegőn megszáradni. Ne tegye szárítógépbe és kerülje az öblítő használatát, hogy a pánt megőrizze formatartó képességét és a tépőzárak tapadását.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Mikor cserélje korábban?</t>
    </r>
    <r>
      <rPr>
        <sz val="11"/>
        <color theme="1"/>
        <rFont val="Calibri"/>
        <family val="2"/>
        <charset val="238"/>
        <scheme val="minor"/>
      </rPr>
      <t xml:space="preserve"> Ha az anyag elvékonyodik, kinyúlik (elveszíti rugalmasságát), vagy a tépőzárak már nem rögzítenek biztonságosan a szilikon vázhoz, a maszk stabilitása romlik. Amennyiben az éjszaka során a szivárgás miatt folyamatosan utána kell húznia a pántoknak, a fejpánt megérett az azonnali cserére.
</t>
    </r>
    <r>
      <rPr>
        <b/>
        <sz val="11"/>
        <color theme="1"/>
        <rFont val="Calibri"/>
        <family val="2"/>
        <charset val="238"/>
        <scheme val="minor"/>
      </rPr>
      <t>Kompatibilitás:</t>
    </r>
    <r>
      <rPr>
        <sz val="11"/>
        <color theme="1"/>
        <rFont val="Calibri"/>
        <family val="2"/>
        <charset val="238"/>
        <scheme val="minor"/>
      </rPr>
      <t xml:space="preserve">
Philips DreamWear Nasal (orr alatti) és Silicone Pillows (orrillesztékes) maszkokhoz.</t>
    </r>
  </si>
  <si>
    <t>Puha és stabil rögzítést kínáló tartalék fejpánt a gélpárnás technológiához. A Philips Nuance Pro orrillesztékes maszk eredeti gyári kiegészítője.</t>
  </si>
  <si>
    <r>
      <rPr>
        <b/>
        <sz val="11"/>
        <color theme="1"/>
        <rFont val="Calibri"/>
        <family val="2"/>
        <charset val="238"/>
        <scheme val="minor"/>
      </rPr>
      <t>Funkció:</t>
    </r>
    <r>
      <rPr>
        <sz val="11"/>
        <color theme="1"/>
        <rFont val="Calibri"/>
        <family val="2"/>
        <charset val="238"/>
        <scheme val="minor"/>
      </rPr>
      <t xml:space="preserve">
A Philips Nuance Pro fejpánt kifejezetten a gélvázas orrillesztékes maszk kényelmének fokozására készült. Feladata a gélpárnák stabil rögzítése az orrnyílásoknál, biztosítva a zavartalan terápiát bármilyen alvási pozícióban. A puha, mégis tartós anyag elosztja a nyomást a fejen, megelőzve az irritációt és a kényelmetlen pántnyomokat.
</t>
    </r>
    <r>
      <rPr>
        <b/>
        <sz val="11"/>
        <color theme="1"/>
        <rFont val="Calibri"/>
        <family val="2"/>
        <charset val="238"/>
        <scheme val="minor"/>
      </rPr>
      <t>Használat:</t>
    </r>
    <r>
      <rPr>
        <sz val="11"/>
        <color theme="1"/>
        <rFont val="Calibri"/>
        <family val="2"/>
        <charset val="238"/>
        <scheme val="minor"/>
      </rPr>
      <t xml:space="preserve">
Csatlakoztassa a fejpánt végeit a Nuance Pro gélvázához, majd a tépőzárakkal, a szimmetriára ügyelve állítsa be az optimális feszességet. A fejpánt akkor van jól beállítva, ha a maszkpárna pontosan illeszkedik az orrnyílásokhoz, és a maszk nem mozdul el az éjszakai forgolódás során.
</t>
    </r>
    <r>
      <rPr>
        <b/>
        <sz val="11"/>
        <color theme="1"/>
        <rFont val="Calibri"/>
        <family val="2"/>
        <charset val="238"/>
        <scheme val="minor"/>
      </rPr>
      <t>Tisztítás:</t>
    </r>
    <r>
      <rPr>
        <sz val="11"/>
        <color theme="1"/>
        <rFont val="Calibri"/>
        <family val="2"/>
        <charset val="238"/>
        <scheme val="minor"/>
      </rPr>
      <t xml:space="preserve">
Hetente legalább egyszer javasolt kézzel kimosni langyos mosogatószeres vízben. Alaposan öblítse ki, és hagyja levegőn megszáradni, közvetlen hőtől védve. Az öblítő használata kerülendő, mivel az károsíthatja a pánt rugalmasságát és a rögzítőelemek tapadását.
</t>
    </r>
    <r>
      <rPr>
        <b/>
        <sz val="11"/>
        <color theme="1"/>
        <rFont val="Calibri"/>
        <family val="2"/>
        <charset val="238"/>
        <scheme val="minor"/>
      </rPr>
      <t>Csereperiódus – A páciens felelőssége:</t>
    </r>
    <r>
      <rPr>
        <sz val="11"/>
        <color theme="1"/>
        <rFont val="Calibri"/>
        <family val="2"/>
        <charset val="238"/>
        <scheme val="minor"/>
      </rPr>
      <t xml:space="preserve">
Az optimális illeszkedés fenntartása érdekében a fejpánt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Amennyiben az anyag elveszíti rugalmasságát, vagy a tépőzár ereje érezhetően csökken, ami a maszk szivárgásához vezethet.
</t>
    </r>
    <r>
      <rPr>
        <b/>
        <sz val="11"/>
        <color theme="1"/>
        <rFont val="Calibri"/>
        <family val="2"/>
        <charset val="238"/>
        <scheme val="minor"/>
      </rPr>
      <t>Kompatibilitás:</t>
    </r>
    <r>
      <rPr>
        <sz val="11"/>
        <color theme="1"/>
        <rFont val="Calibri"/>
        <family val="2"/>
        <charset val="238"/>
        <scheme val="minor"/>
      </rPr>
      <t xml:space="preserve">
Philips Nuance Pro orrillesztékes maszkhoz.</t>
    </r>
  </si>
  <si>
    <t>Könnyű, mégis rendkívül stabil rögzítést biztosító tartalék fejpánt. A Philips Pico orrmaszk eredeti gyári kiegészítője.</t>
  </si>
  <si>
    <r>
      <rPr>
        <b/>
        <sz val="11"/>
        <color theme="1"/>
        <rFont val="Calibri"/>
        <family val="2"/>
        <charset val="238"/>
        <scheme val="minor"/>
      </rPr>
      <t>Funkció:</t>
    </r>
    <r>
      <rPr>
        <sz val="11"/>
        <color theme="1"/>
        <rFont val="Calibri"/>
        <family val="2"/>
        <charset val="238"/>
        <scheme val="minor"/>
      </rPr>
      <t xml:space="preserve">
A Philips Pico fejpánt a maszk kompakt vázrendszerének stabil rögzítéséért felel. Feladata a terápiás nyomás egyenletes elosztása a fejen, megakadályozva a maszk elmozdulását és a szivárgást az éjszaka folyamán. A könnyű, légáteresztő anyag és az ergonómikus kialakítás biztosítja a hosszan tartó kényelmes tartást, minimalizálva az arcbőrre nehezedő nyomást, így garantálva a zavartalan alvást.
</t>
    </r>
    <r>
      <rPr>
        <b/>
        <sz val="11"/>
        <color theme="1"/>
        <rFont val="Calibri"/>
        <family val="2"/>
        <charset val="238"/>
        <scheme val="minor"/>
      </rPr>
      <t>Használat:</t>
    </r>
    <r>
      <rPr>
        <sz val="11"/>
        <color theme="1"/>
        <rFont val="Calibri"/>
        <family val="2"/>
        <charset val="238"/>
        <scheme val="minor"/>
      </rPr>
      <t xml:space="preserve">
Fűzze át a pántokat a Pico váz rögzítőpontjain, majd a tépőzárak segítségével, a szimmetriára ügyelve állítsa be a kívánt feszességet. Az optimális beállítás esetén a maszkpárna stabilan illeszkedik az arcra, a fejpánt pedig biztos tartást ad anélkül, hogy kényelmetlenül feszülne vagy nyomná a fejet.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hetente legalább egyszer javasolt kézzel kimosni langyos mosogatószeres vízben. Alaposan öblítse ki, és fektetve hagyja levegőn megszáradni, közvetlen hőtől védve. Ne használjon öblítőt és ne tegye szárítógépbe, mert a magas hő károsíthatja a pánt szerkezetét és a tépőzárak tapadását.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cseréRegistry, azonban az optimális illeszkedés és kényelem fenntartása érdekében a fejpánt 6–9 havi cseréje indokolt lehet.
</t>
    </r>
    <r>
      <rPr>
        <b/>
        <sz val="11"/>
        <color theme="1"/>
        <rFont val="Calibri"/>
        <family val="2"/>
        <charset val="238"/>
        <scheme val="minor"/>
      </rPr>
      <t xml:space="preserve">   » Mikor cserélje korábban? </t>
    </r>
    <r>
      <rPr>
        <sz val="11"/>
        <color theme="1"/>
        <rFont val="Calibri"/>
        <family val="2"/>
        <charset val="238"/>
        <scheme val="minor"/>
      </rPr>
      <t xml:space="preserve">Ha az anyag kinyúlik (elveszíti rugalmasságát), a tépőzárak már nem tartják meg a beállított feszességet, vagy ha az éjszakai mozgás során a maszk stabilitása jelentősen romlik. Az elhasználódott fejpánt miatti túlfeszítés kényelmetlenséget és bőrpírt okozhat.
</t>
    </r>
    <r>
      <rPr>
        <b/>
        <sz val="11"/>
        <color theme="1"/>
        <rFont val="Calibri"/>
        <family val="2"/>
        <charset val="238"/>
        <scheme val="minor"/>
      </rPr>
      <t>Kompatibilitás:</t>
    </r>
    <r>
      <rPr>
        <sz val="11"/>
        <color theme="1"/>
        <rFont val="Calibri"/>
        <family val="2"/>
        <charset val="238"/>
        <scheme val="minor"/>
      </rPr>
      <t xml:space="preserve">
Kizárólag a Philips Pico orrmaszkhoz használható.</t>
    </r>
  </si>
  <si>
    <t>Rugalmas és kényelmes tartalék fejpánt az orrnyerget szabadon hagyó maszkhoz. A Philips Wisp orrmaszk eredeti gyári kiegészítője.</t>
  </si>
  <si>
    <r>
      <rPr>
        <b/>
        <sz val="11"/>
        <color theme="1"/>
        <rFont val="Calibri"/>
        <family val="2"/>
        <charset val="238"/>
        <scheme val="minor"/>
      </rPr>
      <t>Funkció:</t>
    </r>
    <r>
      <rPr>
        <sz val="11"/>
        <color theme="1"/>
        <rFont val="Calibri"/>
        <family val="2"/>
        <charset val="238"/>
        <scheme val="minor"/>
      </rPr>
      <t xml:space="preserve">
A Philips Wisp fejpánt a Wisp maszk stabil pozicionálását biztosítja, elosztva a tartást a fej és a tarkó között. Feladata a maszkpárna pontos rögzítése anélkül, hogy korlátozná a látómezőt. A bőrbarát textil anyag hosszan megőrzi formáját, biztosítva a szivárgásmentes terápiát és a zavartalan alvást.
</t>
    </r>
    <r>
      <rPr>
        <b/>
        <sz val="11"/>
        <color theme="1"/>
        <rFont val="Calibri"/>
        <family val="2"/>
        <charset val="238"/>
        <scheme val="minor"/>
      </rPr>
      <t>Használat:</t>
    </r>
    <r>
      <rPr>
        <sz val="11"/>
        <color theme="1"/>
        <rFont val="Calibri"/>
        <family val="2"/>
        <charset val="238"/>
        <scheme val="minor"/>
      </rPr>
      <t xml:space="preserve">
Rögzítse a fejpánt végeit a Wisp textil vagy szilikon vázához, majd a tépőzárakkal, a két oldal közötti szimmetriára ügyelve állítsa be a feszességet. A fejpánt akkor ideális, ha a maszkpárna pontosan illeszkedik az orr köré, de a pántok alatt még kényelmesen elmozdul a bőr.
</t>
    </r>
    <r>
      <rPr>
        <b/>
        <sz val="11"/>
        <color theme="1"/>
        <rFont val="Calibri"/>
        <family val="2"/>
        <charset val="238"/>
        <scheme val="minor"/>
      </rPr>
      <t>Tisztítás:</t>
    </r>
    <r>
      <rPr>
        <sz val="11"/>
        <color theme="1"/>
        <rFont val="Calibri"/>
        <family val="2"/>
        <charset val="238"/>
        <scheme val="minor"/>
      </rPr>
      <t xml:space="preserve">
Hetente legalább egyszer javasolt kézzel kimosni langyos mosogatószeres vízben. Alaposan öblítse ki, és fektetve hagyja levegőn megszáradni. Kerülje az öblítő használatát, mert az meglágyíthatja a pánt szövését, ami idő előtti kinyúláshoz vezethet.
</t>
    </r>
    <r>
      <rPr>
        <b/>
        <sz val="11"/>
        <color theme="1"/>
        <rFont val="Calibri"/>
        <family val="2"/>
        <charset val="238"/>
        <scheme val="minor"/>
      </rPr>
      <t>Csereperiódus – A páciens felelőssége:</t>
    </r>
    <r>
      <rPr>
        <sz val="11"/>
        <color theme="1"/>
        <rFont val="Calibri"/>
        <family val="2"/>
        <charset val="238"/>
        <scheme val="minor"/>
      </rPr>
      <t xml:space="preserve">
Az optimális illeszkedés fenntartása érdekében a fejpánt évenkénti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az anyag kinyúlik, a varrásoknál sérül, vagy a tépőzár tapadása érezhetően gyengül.
</t>
    </r>
    <r>
      <rPr>
        <b/>
        <sz val="11"/>
        <color theme="1"/>
        <rFont val="Calibri"/>
        <family val="2"/>
        <charset val="238"/>
        <scheme val="minor"/>
      </rPr>
      <t>Kompatibilitás:</t>
    </r>
    <r>
      <rPr>
        <sz val="11"/>
        <color theme="1"/>
        <rFont val="Calibri"/>
        <family val="2"/>
        <charset val="238"/>
        <scheme val="minor"/>
      </rPr>
      <t xml:space="preserve">
Philips Wisp orrmaszkhoz (szövet és szilikon vázhoz egyaránt).</t>
    </r>
  </si>
  <si>
    <t>standard</t>
  </si>
  <si>
    <t>1094060; 1094088; 1094080; 1094081</t>
  </si>
  <si>
    <t xml:space="preserve">1101104937; 4921; </t>
  </si>
  <si>
    <t>maszk, maszkpárna, váz szilikon, váz textil</t>
  </si>
  <si>
    <t>1105168; 110514</t>
  </si>
  <si>
    <t>1116720; 1116741; 1146473; 1116747</t>
  </si>
  <si>
    <t>maszk, maszkpárna, maszkpárna orrillesztékes, maszkváz</t>
  </si>
  <si>
    <t>maszk, maszkpárna, maszkcső</t>
  </si>
  <si>
    <t>LMT 26720; LMT 26637; LMT 26713</t>
  </si>
  <si>
    <t>WM 25520; WM 26813; WM 26801</t>
  </si>
  <si>
    <t>maszk, maszkpárna, homloktámasz</t>
  </si>
  <si>
    <t>WM 25260; WM 25253; WM 26801</t>
  </si>
  <si>
    <t>Megerősített tartást biztosító, tartós tartalék fejpánt az arcmaszk stabil rögzítéséhez. A Philips Amara és Amara Gel maszkok eredeti gyári kiegészítője.</t>
  </si>
  <si>
    <r>
      <rPr>
        <b/>
        <sz val="11"/>
        <color theme="1"/>
        <rFont val="Calibri"/>
        <family val="2"/>
        <charset val="238"/>
        <scheme val="minor"/>
      </rPr>
      <t>Funkció:</t>
    </r>
    <r>
      <rPr>
        <sz val="11"/>
        <color theme="1"/>
        <rFont val="Calibri"/>
        <family val="2"/>
        <charset val="238"/>
        <scheme val="minor"/>
      </rPr>
      <t xml:space="preserve">
A Philips Amara / Amara Gel fejpánt felel a Full Face maszk biztonságos és elmozdulásmentes rögzítéséért. Feladata a terápiás nyomás egyenletes elosztása a homlok és a tarkó között, biztosítva, hogy a maszk még magasabb nyomásbeállítások mellett is stabilan a helyén maradjon. A bőrbarát textil anyag és a négypontos rögzítési rendszer minimalizálja az arcra nehezedő nyomást, megelőzve az irritációt.
</t>
    </r>
    <r>
      <rPr>
        <b/>
        <sz val="11"/>
        <color theme="1"/>
        <rFont val="Calibri"/>
        <family val="2"/>
        <charset val="238"/>
        <scheme val="minor"/>
      </rPr>
      <t>Használat:</t>
    </r>
    <r>
      <rPr>
        <sz val="11"/>
        <color theme="1"/>
        <rFont val="Calibri"/>
        <family val="2"/>
        <charset val="238"/>
        <scheme val="minor"/>
      </rPr>
      <t xml:space="preserve">
Rögzítse a pánt felső végeit a homloktámaszhoz, az alsókat pedig a maszkvázon található rögzítőkapcsokhoz. A tépőzárak segítségével, a szimmetriára ügyelve állítsa be az optimális feszességet. A fejpánt akkor nyújt tökéletes komfortot, ha a maszkpárna pontosan illeszkedik az orr és a száj környékén, de a pántok nem vágnak be a bőrbe.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hetente legalább egyszer javasolt kézzel kimosni langyos mosogatószeres vízben. Alaposan öblítse ki, és fektetve hagyja levegőn megszáradni, közvetlen hőtől védve. Ne használjon öblítőt, mert az károsíthatja a szálak rugalmasságát és a tépőzárak tapadását!
</t>
    </r>
    <r>
      <rPr>
        <b/>
        <sz val="11"/>
        <color theme="1"/>
        <rFont val="Calibri"/>
        <family val="2"/>
        <charset val="238"/>
        <scheme val="minor"/>
      </rPr>
      <t>Csereperiódus – A páciens felelőssége:</t>
    </r>
    <r>
      <rPr>
        <sz val="11"/>
        <color theme="1"/>
        <rFont val="Calibri"/>
        <family val="2"/>
        <charset val="238"/>
        <scheme val="minor"/>
      </rPr>
      <t xml:space="preserve">
A maszkot higiéniai okokból évente javasolt cserélni, azonban az optimális illeszkedés és kényelem fenntartása érdekében a fejpánt 6–9 havi cseréje indokolt lehet.
    </t>
    </r>
    <r>
      <rPr>
        <b/>
        <sz val="11"/>
        <color theme="1"/>
        <rFont val="Calibri"/>
        <family val="2"/>
        <charset val="238"/>
        <scheme val="minor"/>
      </rPr>
      <t>» Mikor cserélje korábban?</t>
    </r>
    <r>
      <rPr>
        <sz val="11"/>
        <color theme="1"/>
        <rFont val="Calibri"/>
        <family val="2"/>
        <charset val="238"/>
        <scheme val="minor"/>
      </rPr>
      <t xml:space="preserve"> Amennyiben az anyag kinyúlik (elveszíti rugalmasságát), a tépőzárak tartása gyengül, vagy ha az éjszakai mozgás során a maszk stabilitása jelentősen romlik. Az elhasználódott fejpánt miatti túlfeszítés fejfájást és bőrpírt okozhat.
</t>
    </r>
    <r>
      <rPr>
        <b/>
        <sz val="11"/>
        <color theme="1"/>
        <rFont val="Calibri"/>
        <family val="2"/>
        <charset val="238"/>
        <scheme val="minor"/>
      </rPr>
      <t>Kompatibilitás:</t>
    </r>
    <r>
      <rPr>
        <sz val="11"/>
        <color theme="1"/>
        <rFont val="Calibri"/>
        <family val="2"/>
        <charset val="238"/>
        <scheme val="minor"/>
      </rPr>
      <t xml:space="preserve">
Philips Amara és Philips Amara Gel arcmaszkokhoz.
</t>
    </r>
    <r>
      <rPr>
        <b/>
        <sz val="11"/>
        <color theme="1"/>
        <rFont val="Calibri"/>
        <family val="2"/>
        <charset val="238"/>
        <scheme val="minor"/>
      </rPr>
      <t xml:space="preserve">Méret: </t>
    </r>
    <r>
      <rPr>
        <sz val="11"/>
        <color theme="1"/>
        <rFont val="Calibri"/>
        <family val="2"/>
        <charset val="238"/>
        <scheme val="minor"/>
      </rPr>
      <t xml:space="preserve">Standard </t>
    </r>
  </si>
  <si>
    <t>Speciális, öt pontos rögzítést biztosító tartalék fejpánt az orrnyerget szabadon hagyó arcmaszkhoz. A Philips Amara View eredeti gyári kiegészítője.</t>
  </si>
  <si>
    <r>
      <rPr>
        <b/>
        <sz val="11"/>
        <color theme="1"/>
        <rFont val="Calibri"/>
        <family val="2"/>
        <charset val="238"/>
        <scheme val="minor"/>
      </rPr>
      <t>Funkció:</t>
    </r>
    <r>
      <rPr>
        <sz val="11"/>
        <color theme="1"/>
        <rFont val="Calibri"/>
        <family val="2"/>
        <charset val="238"/>
        <scheme val="minor"/>
      </rPr>
      <t xml:space="preserve">
A Philips Amara View fejpánt az egyedi, orr alatti kialakítású arcmaszk stabil pozicionálásáért felel. Feladata a maszk rögzítése a fejtetőn és a tarkón keresztül, biztosítva, hogy az orr alatti és a száj körüli rész még intenzív mozgás közben is szivárgásmentes maradjon. Az innovatív kialakítás elosztja a tartóerőt, így elkerülhető a fejre nehezedő túlzott nyomás.
</t>
    </r>
    <r>
      <rPr>
        <b/>
        <sz val="11"/>
        <color theme="1"/>
        <rFont val="Calibri"/>
        <family val="2"/>
        <charset val="238"/>
        <scheme val="minor"/>
      </rPr>
      <t>Használat:</t>
    </r>
    <r>
      <rPr>
        <sz val="11"/>
        <color theme="1"/>
        <rFont val="Calibri"/>
        <family val="2"/>
        <charset val="238"/>
        <scheme val="minor"/>
      </rPr>
      <t xml:space="preserve">
Helyezze a fejpántot a fejére (a korona-pántot a fejtetőre), majd rögzítse a pántokat a maszkvázhoz. A tépőzárakkal, a két oldal közötti szimmetriára szigorúan ügyelve állítsa be az ideális feszességet. Az optimális beállítás esetén a maszkpárna pontosan illeszkedik, a fejpánt pedig biztos tartást ad anélkül, hogy kényelmetlenül feszülne.
</t>
    </r>
    <r>
      <rPr>
        <b/>
        <sz val="11"/>
        <color theme="1"/>
        <rFont val="Calibri"/>
        <family val="2"/>
        <charset val="238"/>
        <scheme val="minor"/>
      </rPr>
      <t>Tisztítás:</t>
    </r>
    <r>
      <rPr>
        <sz val="11"/>
        <color theme="1"/>
        <rFont val="Calibri"/>
        <family val="2"/>
        <charset val="238"/>
        <scheme val="minor"/>
      </rPr>
      <t xml:space="preserve">
A higiénia megőrzése érdekében hetente legalább egyszer kézzel mossa át langyos mosogatószeres vízben. Öblítés után hagyja levegőn megszáradni. Ne tegye szárítógépbe és kerülje az öblítő használatát, hogy a pánt megőrizze formatartó képességét és a speciális rögzítési pontok épségét.
</t>
    </r>
    <r>
      <rPr>
        <b/>
        <sz val="11"/>
        <color theme="1"/>
        <rFont val="Calibri"/>
        <family val="2"/>
        <charset val="238"/>
        <scheme val="minor"/>
      </rPr>
      <t>Csereperiódus – A páciens felelőssége:</t>
    </r>
    <r>
      <rPr>
        <sz val="11"/>
        <color theme="1"/>
        <rFont val="Calibri"/>
        <family val="2"/>
        <charset val="238"/>
        <scheme val="minor"/>
      </rPr>
      <t xml:space="preserve">
Az optimális illeszkedés fenntartása érdekében a fejpánt 6–9 havi cseréje indokolt lehet.
</t>
    </r>
    <r>
      <rPr>
        <b/>
        <sz val="11"/>
        <color theme="1"/>
        <rFont val="Calibri"/>
        <family val="2"/>
        <charset val="238"/>
        <scheme val="minor"/>
      </rPr>
      <t xml:space="preserve">» Mikor cserélje korábban? </t>
    </r>
    <r>
      <rPr>
        <sz val="11"/>
        <color theme="1"/>
        <rFont val="Calibri"/>
        <family val="2"/>
        <charset val="238"/>
        <scheme val="minor"/>
      </rPr>
      <t xml:space="preserve">Ha az anyag kinyúlik, elvékonyodik, vagy a tépőzárak már nem rögzítenek biztonságosan. Az elhasználódott pánt miatti pontatlan illeszkedés rontja a terápia hatékonyságát.
</t>
    </r>
    <r>
      <rPr>
        <b/>
        <sz val="11"/>
        <color theme="1"/>
        <rFont val="Calibri"/>
        <family val="2"/>
        <charset val="238"/>
        <scheme val="minor"/>
      </rPr>
      <t>Kompatibilitás:</t>
    </r>
    <r>
      <rPr>
        <sz val="11"/>
        <color theme="1"/>
        <rFont val="Calibri"/>
        <family val="2"/>
        <charset val="238"/>
        <scheme val="minor"/>
      </rPr>
      <t xml:space="preserve">
Kizárólag a Philips Amara View arcmaszkhoz használható.
Méret: Standard</t>
    </r>
  </si>
  <si>
    <t>Megerősített alsó pántokkal ellátott tartalék fejpánt a DreamWear arcmaszk stabil rögzítéséhez. Eredeti gyári kiegészítő.</t>
  </si>
  <si>
    <r>
      <rPr>
        <b/>
        <sz val="11"/>
        <color theme="1"/>
        <rFont val="Calibri"/>
        <family val="2"/>
        <charset val="238"/>
        <scheme val="minor"/>
      </rPr>
      <t>Funkció:</t>
    </r>
    <r>
      <rPr>
        <sz val="11"/>
        <color theme="1"/>
        <rFont val="Calibri"/>
        <family val="2"/>
        <charset val="238"/>
        <scheme val="minor"/>
      </rPr>
      <t xml:space="preserve">
A Philips DreamWear Full Face fejpánt a DreamWear rendszer moduláris felépítéséhez illeszkedik, de a standard orrmaszk-pántnál erősebb tartást biztosít. Feladata a maszkváz és az arcmaszk-párna stabil pozicionálása, megakadályozva a szivárgást a száj és az orr környékén. A tarkónál szélesedő kialakítás egyenletesen osztja el a nyomást, biztosítva a komfortot bármilyen alvási pozícióban.
</t>
    </r>
    <r>
      <rPr>
        <b/>
        <sz val="11"/>
        <color theme="1"/>
        <rFont val="Calibri"/>
        <family val="2"/>
        <charset val="238"/>
        <scheme val="minor"/>
      </rPr>
      <t>Használat:</t>
    </r>
    <r>
      <rPr>
        <sz val="11"/>
        <color theme="1"/>
        <rFont val="Calibri"/>
        <family val="2"/>
        <charset val="238"/>
        <scheme val="minor"/>
      </rPr>
      <t xml:space="preserve">
Fűzze át a felső pántokat a szilikon vázon, az alsó pántokat pedig rögzítse a mágneses kapcsok segítségével. A tépőzárakkal, a szimmetriára ügyelve állítsa be a feszességet. A fejpánt akkor ideális, ha a maszkpárna pontosan illeszkedik az arcra, de a pántok alatt még kényelmesen elmozdul a bőr, és nem feszülnek túl szorosan a tarkón.
</t>
    </r>
    <r>
      <rPr>
        <b/>
        <sz val="11"/>
        <color theme="1"/>
        <rFont val="Calibri"/>
        <family val="2"/>
        <charset val="238"/>
        <scheme val="minor"/>
      </rPr>
      <t>Tisztítás:</t>
    </r>
    <r>
      <rPr>
        <sz val="11"/>
        <color theme="1"/>
        <rFont val="Calibri"/>
        <family val="2"/>
        <charset val="238"/>
        <scheme val="minor"/>
      </rPr>
      <t xml:space="preserve">
Hetente legalább egyszer javasolt kézzel kimosni langyos mosogatószeres vízben. Alaposan öblítse ki, és fektetve hagyja levegőn megszáradni. Kerülje az öblítő használatát és a szárítógépet, hogy az anyag megőrizze rugalmasságát és a mágneses rögzítők fogadófelületének épségét.
</t>
    </r>
    <r>
      <rPr>
        <b/>
        <sz val="11"/>
        <color theme="1"/>
        <rFont val="Calibri"/>
        <family val="2"/>
        <charset val="238"/>
        <scheme val="minor"/>
      </rPr>
      <t>Csereperiódus – A páciens felelőssége:</t>
    </r>
    <r>
      <rPr>
        <sz val="11"/>
        <color theme="1"/>
        <rFont val="Calibri"/>
        <family val="2"/>
        <charset val="238"/>
        <scheme val="minor"/>
      </rPr>
      <t xml:space="preserve">
Az optimális illeszkedés fenntartása érdekében a fejpánt 6–9 havi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az anyag elveszíti rugalmasságát (kinyúlik), vagy a tépőzár tapadása érezhetően gyengül, ami a maszk elmozdulásához és szivárgáshoz vezethet.
</t>
    </r>
    <r>
      <rPr>
        <b/>
        <sz val="11"/>
        <color theme="1"/>
        <rFont val="Calibri"/>
        <family val="2"/>
        <charset val="238"/>
        <scheme val="minor"/>
      </rPr>
      <t xml:space="preserve">Kompatibilitás:
</t>
    </r>
    <r>
      <rPr>
        <sz val="11"/>
        <color theme="1"/>
        <rFont val="Calibri"/>
        <family val="2"/>
        <charset val="238"/>
        <scheme val="minor"/>
      </rPr>
      <t xml:space="preserve">Kizárólag a Philips DreamWear Full Face (arcmaszk) típushoz használható.
</t>
    </r>
    <r>
      <rPr>
        <b/>
        <sz val="11"/>
        <color theme="1"/>
        <rFont val="Calibri"/>
        <family val="2"/>
        <charset val="238"/>
        <scheme val="minor"/>
      </rPr>
      <t xml:space="preserve">Méret: </t>
    </r>
    <r>
      <rPr>
        <sz val="11"/>
        <color theme="1"/>
        <rFont val="Calibri"/>
        <family val="2"/>
        <charset val="238"/>
        <scheme val="minor"/>
      </rPr>
      <t>Standard</t>
    </r>
  </si>
  <si>
    <r>
      <rPr>
        <b/>
        <sz val="11"/>
        <color theme="1"/>
        <rFont val="Calibri"/>
        <family val="2"/>
        <charset val="238"/>
        <scheme val="minor"/>
      </rPr>
      <t>Funkció:</t>
    </r>
    <r>
      <rPr>
        <sz val="11"/>
        <color theme="1"/>
        <rFont val="Calibri"/>
        <family val="2"/>
        <charset val="238"/>
        <scheme val="minor"/>
      </rPr>
      <t xml:space="preserve">
A Löwenstein Julia maszkcső biztosítja a rugalmas összeköttetést a maszkváz és a fő gégecső között. Feladata, hogy elnyelje az éjszakai mozgásból eredő rántásokat, így megakadályozva a maszk elmozdulását és a szivárgást. A könnyű kialakítás csökkenti a maszkra nehezedő húzóerőt, ami jelentősen növeli a páciens komfortérzetét és a terápia stabilitását.
</t>
    </r>
    <r>
      <rPr>
        <b/>
        <sz val="11"/>
        <color theme="1"/>
        <rFont val="Calibri"/>
        <family val="2"/>
        <charset val="238"/>
        <scheme val="minor"/>
      </rPr>
      <t>Használat:</t>
    </r>
    <r>
      <rPr>
        <sz val="11"/>
        <color theme="1"/>
        <rFont val="Calibri"/>
        <family val="2"/>
        <charset val="238"/>
        <scheme val="minor"/>
      </rPr>
      <t xml:space="preserve">
Illessze a maszkcső vékonyabb végét a Julia maszk könyökidomához, a másik, szabványos csatlakozót pedig a készülék gégecsövéhez. Ügyeljen rá, hogy a csatlakozások szorosak és résmentesek legyenek. A cső rugalmassága lehetővé teszi, hogy bármilyen alvási pozícióban akadálytalan maradjon a légáramlás.
</t>
    </r>
    <r>
      <rPr>
        <b/>
        <sz val="11"/>
        <color theme="1"/>
        <rFont val="Calibri"/>
        <family val="2"/>
        <charset val="238"/>
        <scheme val="minor"/>
      </rPr>
      <t>Tisztítás:</t>
    </r>
    <r>
      <rPr>
        <sz val="11"/>
        <color theme="1"/>
        <rFont val="Calibri"/>
        <family val="2"/>
        <charset val="238"/>
        <scheme val="minor"/>
      </rPr>
      <t xml:space="preserve">
A higiénia megőrzése érdekében a maszkcsövet naponta javasolt tisztítani. Öblítse át a belsejét langyos mosogatószeres vízzel, majd alaposan öblítse ki tiszta vízzel. Függesztve hagyja levegőn teljesen megszáradni, mielőtt újra használatba venné. Ne használjon alkoholt vagy agresszív fertőtlenítőszereket!
</t>
    </r>
    <r>
      <rPr>
        <b/>
        <sz val="11"/>
        <color theme="1"/>
        <rFont val="Calibri"/>
        <family val="2"/>
        <charset val="238"/>
        <scheme val="minor"/>
      </rPr>
      <t xml:space="preserve">Csereperiódus – A páciens felelőssége:
</t>
    </r>
    <r>
      <rPr>
        <sz val="11"/>
        <color theme="1"/>
        <rFont val="Calibri"/>
        <family val="2"/>
        <charset val="238"/>
        <scheme val="minor"/>
      </rPr>
      <t>Az anyagtáradás és a higiénia miatt a maszkcső 6–9 havi cseréje indokolt.
    </t>
    </r>
    <r>
      <rPr>
        <b/>
        <sz val="11"/>
        <color theme="1"/>
        <rFont val="Calibri"/>
        <family val="2"/>
        <charset val="238"/>
        <scheme val="minor"/>
      </rPr>
      <t>» Mikor cserélje korábban?</t>
    </r>
    <r>
      <rPr>
        <sz val="11"/>
        <color theme="1"/>
        <rFont val="Calibri"/>
        <family val="2"/>
        <charset val="238"/>
        <scheme val="minor"/>
      </rPr>
      <t xml:space="preserve"> Ha a cső fala kireped, a csatlakozásoknál levegőszivárgást észlel, vagy ha az anyag érezhetően megkeményedik és elveszíti rugalmasságát.
</t>
    </r>
    <r>
      <rPr>
        <b/>
        <sz val="11"/>
        <color theme="1"/>
        <rFont val="Calibri"/>
        <family val="2"/>
        <charset val="238"/>
        <scheme val="minor"/>
      </rPr>
      <t>Kompatibilitás:</t>
    </r>
    <r>
      <rPr>
        <sz val="11"/>
        <color theme="1"/>
        <rFont val="Calibri"/>
        <family val="2"/>
        <charset val="238"/>
        <scheme val="minor"/>
      </rPr>
      <t xml:space="preserve">
Kizárólag a Löwenstein Julia orrmaszkhoz használható.</t>
    </r>
  </si>
  <si>
    <t>Extra hajlékony, sötétszürke tartalék rövidcső a gélpárnás orrillesztékes maszkokhoz. Eredeti Philips kiegészítő.</t>
  </si>
  <si>
    <t>Rugalmas, könnyű tartalék maszkcső (rövidcső) a Julia orrmaszkhoz. Eredeti gyári kiegészítő a maximális mozgásszabadságért.</t>
  </si>
  <si>
    <r>
      <rPr>
        <b/>
        <sz val="11"/>
        <color theme="1"/>
        <rFont val="Calibri"/>
        <family val="2"/>
        <charset val="238"/>
        <scheme val="minor"/>
      </rPr>
      <t>Funkció:</t>
    </r>
    <r>
      <rPr>
        <sz val="11"/>
        <color theme="1"/>
        <rFont val="Calibri"/>
        <family val="2"/>
        <charset val="238"/>
        <scheme val="minor"/>
      </rPr>
      <t xml:space="preserve">
A Philips Nuance maszkcső a Nuance és Nuance Pro maszkok speciális kiegészítője. Feladata, hogy közvetítse a terápiás levegőt a főcső és az orrilleszték között, miközben minimálisra csökkenti a maszkra nehezedő súlyt. A rendkívül hajlékony kialakításnak köszönhetően a páciens szabadon mozoghat az éjszaka folyamán anélkül, hogy a maszk elmozdulna az orrnyílásoktól.
</t>
    </r>
    <r>
      <rPr>
        <b/>
        <sz val="11"/>
        <color theme="1"/>
        <rFont val="Calibri"/>
        <family val="2"/>
        <charset val="238"/>
        <scheme val="minor"/>
      </rPr>
      <t>Használat:</t>
    </r>
    <r>
      <rPr>
        <sz val="11"/>
        <color theme="1"/>
        <rFont val="Calibri"/>
        <family val="2"/>
        <charset val="238"/>
        <scheme val="minor"/>
      </rPr>
      <t xml:space="preserve">
Csatlakoztassa a rövidcső végét a Nuance gélvázához, a másik végét pedig a standard 22 mm-es gégecsőhöz. Győződjön meg róla, hogy az illesztések stabilak. A beépített forgócsukló segít abban, hogy a cső ne csavarodjon meg az alvás során.
</t>
    </r>
    <r>
      <rPr>
        <b/>
        <sz val="11"/>
        <color theme="1"/>
        <rFont val="Calibri"/>
        <family val="2"/>
        <charset val="238"/>
        <scheme val="minor"/>
      </rPr>
      <t>Tisztítás:</t>
    </r>
    <r>
      <rPr>
        <sz val="11"/>
        <color theme="1"/>
        <rFont val="Calibri"/>
        <family val="2"/>
        <charset val="238"/>
        <scheme val="minor"/>
      </rPr>
      <t xml:space="preserve">
Naponta javasolt tisztítani langyos mosogatószeres vízben. Alaposan öblítse át a cső belsejét, majd levegőn szárítsa meg. Ügyeljen rá, hogy ne maradjon benne nedvesség a használat előtt. Ne tegye közvetlen hőforrás közelébe!
</t>
    </r>
    <r>
      <rPr>
        <b/>
        <sz val="11"/>
        <color theme="1"/>
        <rFont val="Calibri"/>
        <family val="2"/>
        <charset val="238"/>
        <scheme val="minor"/>
      </rPr>
      <t>Csereperiódus – A páciens felelőssége:</t>
    </r>
    <r>
      <rPr>
        <sz val="11"/>
        <color theme="1"/>
        <rFont val="Calibri"/>
        <family val="2"/>
        <charset val="238"/>
        <scheme val="minor"/>
      </rPr>
      <t xml:space="preserve">
A maszkcső a maszk tartozéka így cseréje évente javasolt az optimális működés érdekében.
    </t>
    </r>
    <r>
      <rPr>
        <b/>
        <sz val="11"/>
        <color theme="1"/>
        <rFont val="Calibri"/>
        <family val="2"/>
        <charset val="238"/>
        <scheme val="minor"/>
      </rPr>
      <t>» Mikor cserélje korábban?</t>
    </r>
    <r>
      <rPr>
        <sz val="11"/>
        <color theme="1"/>
        <rFont val="Calibri"/>
        <family val="2"/>
        <charset val="238"/>
        <scheme val="minor"/>
      </rPr>
      <t xml:space="preserve"> Ha a cső fala sérül, lyukad vagy a csatlakozóknál nem zár tökéletesen, ami fütyülő hangot vagy nyomásesést okozhat.
</t>
    </r>
    <r>
      <rPr>
        <b/>
        <sz val="11"/>
        <color theme="1"/>
        <rFont val="Calibri"/>
        <family val="2"/>
        <charset val="238"/>
        <scheme val="minor"/>
      </rPr>
      <t>Kompatibilitás:</t>
    </r>
    <r>
      <rPr>
        <sz val="11"/>
        <color theme="1"/>
        <rFont val="Calibri"/>
        <family val="2"/>
        <charset val="238"/>
        <scheme val="minor"/>
      </rPr>
      <t xml:space="preserve">
Philips Nuance és Nuance Pro orrillesztékes maszkokhoz.</t>
    </r>
  </si>
  <si>
    <r>
      <rPr>
        <b/>
        <sz val="11"/>
        <color theme="1"/>
        <rFont val="Calibri"/>
        <family val="2"/>
        <charset val="238"/>
        <scheme val="minor"/>
      </rPr>
      <t>Funkció:</t>
    </r>
    <r>
      <rPr>
        <sz val="11"/>
        <color theme="1"/>
        <rFont val="Calibri"/>
        <family val="2"/>
        <charset val="238"/>
        <scheme val="minor"/>
      </rPr>
      <t xml:space="preserve">
A Philips Wisp maszkcső és könyök együttesen felel a maszk stabil és csendes működéséért. A könyökidom 360 fokban elforgatható, ami maximális szabadságot ad a cső elhelyezésében, míg a hozzá tartozó rövidcső elnyeli a mozgásból eredő feszültséget. A könyökidom integrált kilégzőnyílásai biztosítják a csendes és huzatmentes levegőeltávozást.
</t>
    </r>
    <r>
      <rPr>
        <b/>
        <sz val="11"/>
        <color theme="1"/>
        <rFont val="Calibri"/>
        <family val="2"/>
        <charset val="238"/>
        <scheme val="minor"/>
      </rPr>
      <t>Használat:</t>
    </r>
    <r>
      <rPr>
        <sz val="11"/>
        <color theme="1"/>
        <rFont val="Calibri"/>
        <family val="2"/>
        <charset val="238"/>
        <scheme val="minor"/>
      </rPr>
      <t xml:space="preserve">
Pattintsa a könyökidomot a Wisp maszkpárna közepén található nyílásba, amíg egy kattanást nem hall. A rövidcső másik végét csatlakoztassa a gégecsőhöz. Az összeszerelés során ügyeljen rá, hogy a könyökidom szabadon el tudjon fordulni a vázban.
</t>
    </r>
    <r>
      <rPr>
        <b/>
        <sz val="11"/>
        <color theme="1"/>
        <rFont val="Calibri"/>
        <family val="2"/>
        <charset val="238"/>
        <scheme val="minor"/>
      </rPr>
      <t>Tisztítás:</t>
    </r>
    <r>
      <rPr>
        <sz val="11"/>
        <color theme="1"/>
        <rFont val="Calibri"/>
        <family val="2"/>
        <charset val="238"/>
        <scheme val="minor"/>
      </rPr>
      <t xml:space="preserve">
Naponta tisztítandó langyos mosogatószeres vízzel. A könyökidom kis réseit puha kefével szabadítsa meg az esetleges lerakódásoktól. Öblítés után hagyja levegőn teljesen megszáradni.
</t>
    </r>
    <r>
      <rPr>
        <b/>
        <sz val="11"/>
        <color theme="1"/>
        <rFont val="Calibri"/>
        <family val="2"/>
        <charset val="238"/>
        <scheme val="minor"/>
      </rPr>
      <t>Csereperiódus – A páciens felelőssége:</t>
    </r>
    <r>
      <rPr>
        <sz val="11"/>
        <color theme="1"/>
        <rFont val="Calibri"/>
        <family val="2"/>
        <charset val="238"/>
        <scheme val="minor"/>
      </rPr>
      <t xml:space="preserve">
A maszkcső a maszk tartozéka így cseréje évente javasolt az optimális működés érdekében.
    </t>
    </r>
    <r>
      <rPr>
        <b/>
        <sz val="11"/>
        <color theme="1"/>
        <rFont val="Calibri"/>
        <family val="2"/>
        <charset val="238"/>
        <scheme val="minor"/>
      </rPr>
      <t>» Mikor cserélje korábban?</t>
    </r>
    <r>
      <rPr>
        <sz val="11"/>
        <color theme="1"/>
        <rFont val="Calibri"/>
        <family val="2"/>
        <charset val="238"/>
        <scheme val="minor"/>
      </rPr>
      <t xml:space="preserve"> Ha a könyökidom kilégzőnyílásai elzáródnak, a csatlakozás kilazul, vagy a cső fala megreped.
</t>
    </r>
    <r>
      <rPr>
        <b/>
        <sz val="11"/>
        <color theme="1"/>
        <rFont val="Calibri"/>
        <family val="2"/>
        <charset val="238"/>
        <scheme val="minor"/>
      </rPr>
      <t>Kompatibilitás:</t>
    </r>
    <r>
      <rPr>
        <sz val="11"/>
        <color theme="1"/>
        <rFont val="Calibri"/>
        <family val="2"/>
        <charset val="238"/>
        <scheme val="minor"/>
      </rPr>
      <t xml:space="preserve">
Kizárólag a Philips Wisp orrmaszkhoz használható.</t>
    </r>
  </si>
  <si>
    <t>Komplett tartalék egység, amely tartalmazza a rugalmas,  rövid maszkcsövet és a maszkvázhoz csatlakozó könyökidomot.</t>
  </si>
  <si>
    <t>Rendkívül könnyű, átlátszó tartalék rövidcső forgócsuklóval az Amara View arcmaszkhoz.</t>
  </si>
  <si>
    <r>
      <rPr>
        <b/>
        <sz val="11"/>
        <color theme="1"/>
        <rFont val="Calibri"/>
        <family val="2"/>
        <charset val="238"/>
        <scheme val="minor"/>
      </rPr>
      <t>Funkció:</t>
    </r>
    <r>
      <rPr>
        <sz val="11"/>
        <color theme="1"/>
        <rFont val="Calibri"/>
        <family val="2"/>
        <charset val="238"/>
        <scheme val="minor"/>
      </rPr>
      <t xml:space="preserve">
A Philips Amara View maszkcső a terápia kényelmét szolgálja azáltal, hogy eltávolítja a nehéz gégecsövet közvetlenül az arc közeléből. Feladata a stabil légáramlás biztosítása az orr alatti rögzítéshez, miközben a beépített forgócsatlakozó megakadályozza a cső összegabalyodását. Segít fenntartani az Amara View maszkra jellemző szabad látómezőt.
</t>
    </r>
    <r>
      <rPr>
        <b/>
        <sz val="11"/>
        <color theme="1"/>
        <rFont val="Calibri"/>
        <family val="2"/>
        <charset val="238"/>
        <scheme val="minor"/>
      </rPr>
      <t>Használat:</t>
    </r>
    <r>
      <rPr>
        <sz val="11"/>
        <color theme="1"/>
        <rFont val="Calibri"/>
        <family val="2"/>
        <charset val="238"/>
        <scheme val="minor"/>
      </rPr>
      <t xml:space="preserve">
Illessze a maszkcső végét az Amara View maszkváz alsó csatlakozójába, a másik végét pedig a standard gégecsőhöz. Ellenőrizze a rögzítést enyhe meghúzással.
</t>
    </r>
    <r>
      <rPr>
        <b/>
        <sz val="11"/>
        <color theme="1"/>
        <rFont val="Calibri"/>
        <family val="2"/>
        <charset val="238"/>
        <scheme val="minor"/>
      </rPr>
      <t>Tisztítás:</t>
    </r>
    <r>
      <rPr>
        <sz val="11"/>
        <color theme="1"/>
        <rFont val="Calibri"/>
        <family val="2"/>
        <charset val="238"/>
        <scheme val="minor"/>
      </rPr>
      <t xml:space="preserve">
Naponta öblítse át langyos mosogatószeres vízzel, majd tiszta vízzel. Függesztve szárítsa meg. Ne használjon alkoholt vagy súrolószereket a tisztításhoz.
</t>
    </r>
    <r>
      <rPr>
        <b/>
        <sz val="11"/>
        <color theme="1"/>
        <rFont val="Calibri"/>
        <family val="2"/>
        <charset val="238"/>
        <scheme val="minor"/>
      </rPr>
      <t>Csereperiódus – A páciens felelőssége:</t>
    </r>
    <r>
      <rPr>
        <sz val="11"/>
        <color theme="1"/>
        <rFont val="Calibri"/>
        <family val="2"/>
        <charset val="238"/>
        <scheme val="minor"/>
      </rPr>
      <t xml:space="preserve">
A higiénia és az anyagtisztaság megőrzése érdekében 6–9 havi cseréje javasolt.
   </t>
    </r>
    <r>
      <rPr>
        <b/>
        <sz val="11"/>
        <color theme="1"/>
        <rFont val="Calibri"/>
        <family val="2"/>
        <charset val="238"/>
        <scheme val="minor"/>
      </rPr>
      <t> » Mikor cserélje korábban?</t>
    </r>
    <r>
      <rPr>
        <sz val="11"/>
        <color theme="1"/>
        <rFont val="Calibri"/>
        <family val="2"/>
        <charset val="238"/>
        <scheme val="minor"/>
      </rPr>
      <t xml:space="preserve"> Elszíneződés, repedés vagy a forgócsukló szorulása esetén.
</t>
    </r>
    <r>
      <rPr>
        <b/>
        <sz val="11"/>
        <color theme="1"/>
        <rFont val="Calibri"/>
        <family val="2"/>
        <charset val="238"/>
        <scheme val="minor"/>
      </rPr>
      <t>Kompatibilitás:</t>
    </r>
    <r>
      <rPr>
        <sz val="11"/>
        <color theme="1"/>
        <rFont val="Calibri"/>
        <family val="2"/>
        <charset val="238"/>
        <scheme val="minor"/>
      </rPr>
      <t xml:space="preserve">
Kizárólag a Philips Amara View arcmaszkhoz.</t>
    </r>
  </si>
  <si>
    <t>Speciális, 360 fokban forgó könyökidom beépített kilégzőnyílásokkal a DreamWear maszkváz tetejére.</t>
  </si>
  <si>
    <r>
      <rPr>
        <b/>
        <sz val="11"/>
        <color theme="1"/>
        <rFont val="Calibri"/>
        <family val="2"/>
        <charset val="238"/>
        <scheme val="minor"/>
      </rPr>
      <t>Funkció:</t>
    </r>
    <r>
      <rPr>
        <sz val="11"/>
        <color theme="1"/>
        <rFont val="Calibri"/>
        <family val="2"/>
        <charset val="238"/>
        <scheme val="minor"/>
      </rPr>
      <t xml:space="preserve">
A Philips DreamWear kilégző adapter a rendszer kulcsfontosságú eleme, amely a fejtetőn vezeti el a levegőt. Feladata a gégecső csatlakoztatása a szilikon vázhoz, miközben a beépített diffúzor segítségével halkan vezeti ki a kilélegzett levegőt. A teljes körbeforgás lehetővé teszi, hogy a gégecső bármilyen irányba (akár a fejtámla felé is) állhasson.
</t>
    </r>
    <r>
      <rPr>
        <b/>
        <sz val="11"/>
        <color theme="1"/>
        <rFont val="Calibri"/>
        <family val="2"/>
        <charset val="238"/>
        <scheme val="minor"/>
      </rPr>
      <t>Használat:</t>
    </r>
    <r>
      <rPr>
        <sz val="11"/>
        <color theme="1"/>
        <rFont val="Calibri"/>
        <family val="2"/>
        <charset val="238"/>
        <scheme val="minor"/>
      </rPr>
      <t xml:space="preserve">
Pattintsa az adaptert a DreamWear szilikon váz tetején található kerek nyílásba. A rögzülést egy halk kattanás jelzi. Ezután csatlakoztassa a gégecsövet az adapter fehér csatlakozójához.
</t>
    </r>
    <r>
      <rPr>
        <b/>
        <sz val="11"/>
        <color theme="1"/>
        <rFont val="Calibri"/>
        <family val="2"/>
        <charset val="238"/>
        <scheme val="minor"/>
      </rPr>
      <t>Tisztítás:</t>
    </r>
    <r>
      <rPr>
        <sz val="11"/>
        <color theme="1"/>
        <rFont val="Calibri"/>
        <family val="2"/>
        <charset val="238"/>
        <scheme val="minor"/>
      </rPr>
      <t xml:space="preserve">
Naponta javasolt tisztítani langyos mosogatószeres vízben. Fordítson figyelmet a kilégzőnyílások átöblítésére. Hagyja levegőn megszáradni.
</t>
    </r>
    <r>
      <rPr>
        <b/>
        <sz val="11"/>
        <color theme="1"/>
        <rFont val="Calibri"/>
        <family val="2"/>
        <charset val="238"/>
        <scheme val="minor"/>
      </rPr>
      <t>Csereperiódus – A páciens felelőssége:</t>
    </r>
    <r>
      <rPr>
        <sz val="11"/>
        <color theme="1"/>
        <rFont val="Calibri"/>
        <family val="2"/>
        <charset val="238"/>
        <scheme val="minor"/>
      </rPr>
      <t xml:space="preserve">
A kilégző adapter a maszk tartozéka, így cseréje évente javasolt az optimális működés érdekében.
    </t>
    </r>
    <r>
      <rPr>
        <b/>
        <sz val="11"/>
        <color theme="1"/>
        <rFont val="Calibri"/>
        <family val="2"/>
        <charset val="238"/>
        <scheme val="minor"/>
      </rPr>
      <t>» Mikor cserélje korábban?</t>
    </r>
    <r>
      <rPr>
        <sz val="11"/>
        <color theme="1"/>
        <rFont val="Calibri"/>
        <family val="2"/>
        <charset val="238"/>
        <scheme val="minor"/>
      </rPr>
      <t xml:space="preserve"> Ha a kilégzőnyílások eldugulnak, az alkatrész megreped, vagy már nem forog könnyedén a vázban.
</t>
    </r>
    <r>
      <rPr>
        <b/>
        <sz val="11"/>
        <color theme="1"/>
        <rFont val="Calibri"/>
        <family val="2"/>
        <charset val="238"/>
        <scheme val="minor"/>
      </rPr>
      <t>Kompatibilitás:</t>
    </r>
    <r>
      <rPr>
        <sz val="11"/>
        <color theme="1"/>
        <rFont val="Calibri"/>
        <family val="2"/>
        <charset val="238"/>
        <scheme val="minor"/>
      </rPr>
      <t xml:space="preserve">
Philips DreamWear (Nasal, Pillows, Full Face) minden változatához.</t>
    </r>
  </si>
  <si>
    <t>maszk, szilikon, fejpánt, maszkcső és könyök</t>
  </si>
  <si>
    <t>1116720; 1116745; 1116741; 1146473</t>
  </si>
  <si>
    <t>maszk, váz, szilikon, orrillesztékes szilikon</t>
  </si>
  <si>
    <t>LMT 26720; LMT 26637; LMT 26795</t>
  </si>
  <si>
    <t>maszk, maszkpárna, fejpánt</t>
  </si>
  <si>
    <t>1105168; 1105174; 1105178</t>
  </si>
  <si>
    <t>1094060; 1094087; 1094078</t>
  </si>
  <si>
    <t>1090663; 1090693; 1090697</t>
  </si>
  <si>
    <r>
      <rPr>
        <b/>
        <sz val="11"/>
        <color theme="1"/>
        <rFont val="Calibri"/>
        <family val="2"/>
        <charset val="238"/>
        <scheme val="minor"/>
      </rPr>
      <t>Funkció:</t>
    </r>
    <r>
      <rPr>
        <sz val="11"/>
        <color theme="1"/>
        <rFont val="Calibri"/>
        <family val="2"/>
        <charset val="238"/>
        <scheme val="minor"/>
      </rPr>
      <t xml:space="preserve">
Ez az adapter lehetővé teszi, hogy a páciens a CPAP/BiPAP készülék által biztosított légúti nyomás mellett kiegészítő oxigént is kapjon (ha az orvos előírta). Feladata a terápiás levegő és az oxigén biztonságos összekeverése, mielőtt az a maszkba érne. A kis oldalsó bemenet stabil rögzítést biztosít az oxigénkoncentrátor vékony csövének.
</t>
    </r>
    <r>
      <rPr>
        <b/>
        <sz val="11"/>
        <color theme="1"/>
        <rFont val="Calibri"/>
        <family val="2"/>
        <charset val="238"/>
        <scheme val="minor"/>
      </rPr>
      <t>Használat:</t>
    </r>
    <r>
      <rPr>
        <sz val="11"/>
        <color theme="1"/>
        <rFont val="Calibri"/>
        <family val="2"/>
        <charset val="238"/>
        <scheme val="minor"/>
      </rPr>
      <t xml:space="preserve">
Illessze az adaptert a CPAP gép levegőkimenete és a gégecső közé, vagy a gégecső és a maszk közé (az orvos utasítása szerint). Az oxigéncsövet csúsztassa az adapteren található kis csonkra. Ügyeljen rá, hogy az oxigénforrást csak akkor kapcsolja be, ha a CPAP gép már fújja a levegőt, és mindig kapcsolja ki az oxigént, mielőtt a gépet leállítaná!
</t>
    </r>
    <r>
      <rPr>
        <b/>
        <sz val="11"/>
        <color theme="1"/>
        <rFont val="Calibri"/>
        <family val="2"/>
        <charset val="238"/>
        <scheme val="minor"/>
      </rPr>
      <t>Tisztítás:</t>
    </r>
    <r>
      <rPr>
        <sz val="11"/>
        <color theme="1"/>
        <rFont val="Calibri"/>
        <family val="2"/>
        <charset val="238"/>
        <scheme val="minor"/>
      </rPr>
      <t xml:space="preserve">
Hetente legalább egyszer tisztítsa meg langyos mosogatószeres vízben. Ügyeljen rá, hogy az oxigéncsatlakozó belső járata is tiszta maradjon. Öblítés után hagyja teljesen megszáradni.
</t>
    </r>
    <r>
      <rPr>
        <b/>
        <sz val="11"/>
        <color theme="1"/>
        <rFont val="Calibri"/>
        <family val="2"/>
        <charset val="238"/>
        <scheme val="minor"/>
      </rPr>
      <t xml:space="preserve">Csereperiódus – A páciens felelőssége:
</t>
    </r>
    <r>
      <rPr>
        <sz val="11"/>
        <color theme="1"/>
        <rFont val="Calibri"/>
        <family val="2"/>
        <charset val="238"/>
        <scheme val="minor"/>
      </rPr>
      <t>A higiénia és a biztonság érdekében az adapter 12 havi cseréje javasolt, kivéve, ha sérülést észlel rajta.
    </t>
    </r>
    <r>
      <rPr>
        <b/>
        <sz val="11"/>
        <color theme="1"/>
        <rFont val="Calibri"/>
        <family val="2"/>
        <charset val="238"/>
        <scheme val="minor"/>
      </rPr>
      <t>» Mikor cserélje korábban?</t>
    </r>
    <r>
      <rPr>
        <sz val="11"/>
        <color theme="1"/>
        <rFont val="Calibri"/>
        <family val="2"/>
        <charset val="238"/>
        <scheme val="minor"/>
      </rPr>
      <t xml:space="preserve"> Ha a csatlakozó csonk meggyengül, elreped, vagy ha az adapter nem illeszkedik már szorosan a gégecsőhöz.
</t>
    </r>
    <r>
      <rPr>
        <b/>
        <sz val="11"/>
        <color theme="1"/>
        <rFont val="Calibri"/>
        <family val="2"/>
        <charset val="238"/>
        <scheme val="minor"/>
      </rPr>
      <t>Kompatibilitás:</t>
    </r>
    <r>
      <rPr>
        <sz val="11"/>
        <color theme="1"/>
        <rFont val="Calibri"/>
        <family val="2"/>
        <charset val="238"/>
        <scheme val="minor"/>
      </rPr>
      <t xml:space="preserve">
Univerzális, minden standard 22 mm-es gégecsővel és maszkkal kompatibilis.</t>
    </r>
  </si>
  <si>
    <t xml:space="preserve">WM 15798 </t>
  </si>
  <si>
    <t>WM 15908</t>
  </si>
  <si>
    <t>WM 15944</t>
  </si>
  <si>
    <t>WM 15897</t>
  </si>
  <si>
    <t>LMT 15969</t>
  </si>
  <si>
    <t>Speciális köztes kiegészítő egység oxigénforrás csatlakoztatásához CPAP vagy BiPAP terápia mellé.</t>
  </si>
  <si>
    <t>Puha textil védőhuzat a gégecsőhöz, amely megakadályozza a kondenzvíz kialakulását és növeli az alváskomfortot.</t>
  </si>
  <si>
    <r>
      <rPr>
        <b/>
        <sz val="11"/>
        <color theme="1"/>
        <rFont val="Calibri"/>
        <family val="2"/>
        <charset val="238"/>
        <scheme val="minor"/>
      </rPr>
      <t>Funkció:</t>
    </r>
    <r>
      <rPr>
        <sz val="11"/>
        <color theme="1"/>
        <rFont val="Calibri"/>
        <family val="2"/>
        <charset val="238"/>
        <scheme val="minor"/>
      </rPr>
      <t xml:space="preserve">
A gégecső huzat elsődleges feladata a hőszigetelés. Megakadályozza, hogy a csőben lévő meleg, párás levegő lehűljön (kondenzálódjon), így megszünteti a kellemetlen „esőzés” (rainout) jelenséget, amikor vízcseppek jutnak a maszkba. Emellett a textil borítás kellemesebb tapintású, nem „tapad” a bőrhöz vagy az ágyneműhöz, és tompítja a cső mozgásából eredő zörejeket.
</t>
    </r>
    <r>
      <rPr>
        <b/>
        <sz val="11"/>
        <color theme="1"/>
        <rFont val="Calibri"/>
        <family val="2"/>
        <charset val="238"/>
        <scheme val="minor"/>
      </rPr>
      <t>Használat:</t>
    </r>
    <r>
      <rPr>
        <sz val="11"/>
        <color theme="1"/>
        <rFont val="Calibri"/>
        <family val="2"/>
        <charset val="238"/>
        <scheme val="minor"/>
      </rPr>
      <t xml:space="preserve">
Húzza fel a huzatot a standard gégecsőre, a végein található gumik stabilan megtartják a helyzetét. Ügyeljen rá, hogy a huzat végig simán feküdjön a csövön, ne akadályozza a csatlakozók illeszkedését a készülékhez vagy a maszkhoz.
</t>
    </r>
    <r>
      <rPr>
        <b/>
        <sz val="11"/>
        <color theme="1"/>
        <rFont val="Calibri"/>
        <family val="2"/>
        <charset val="238"/>
        <scheme val="minor"/>
      </rPr>
      <t>Tisztítás:</t>
    </r>
    <r>
      <rPr>
        <sz val="11"/>
        <color theme="1"/>
        <rFont val="Calibri"/>
        <family val="2"/>
        <charset val="238"/>
        <scheme val="minor"/>
      </rPr>
      <t xml:space="preserve">
A huzatot higiéniai okokból 1-2 hetente javasolt kimosni. Használjon langyos mosogatószeres vagy kímélő mosószeres vizet, kézzel mossa át, majd hagyja levegőn teljesen megszáradni. Ne tegye szárítógépbe a zsugorodás veszélye miatt.
</t>
    </r>
    <r>
      <rPr>
        <b/>
        <sz val="11"/>
        <color theme="1"/>
        <rFont val="Calibri"/>
        <family val="2"/>
        <charset val="238"/>
        <scheme val="minor"/>
      </rPr>
      <t>Csereperiódus – A páciens felelőssége:</t>
    </r>
    <r>
      <rPr>
        <sz val="11"/>
        <color theme="1"/>
        <rFont val="Calibri"/>
        <family val="2"/>
        <charset val="238"/>
        <scheme val="minor"/>
      </rPr>
      <t xml:space="preserve">
Az anyag elhasználódása és a higiénia fenntartása érdekében a huzat 12 havi cseréje javasolt, vagy korábban, ha a textil elvékonyodik, vagy a rögzítői elengednek.
</t>
    </r>
    <r>
      <rPr>
        <b/>
        <sz val="11"/>
        <color theme="1"/>
        <rFont val="Calibri"/>
        <family val="2"/>
        <charset val="238"/>
        <scheme val="minor"/>
      </rPr>
      <t>Kompatibilitás:</t>
    </r>
    <r>
      <rPr>
        <sz val="11"/>
        <color theme="1"/>
        <rFont val="Calibri"/>
        <family val="2"/>
        <charset val="238"/>
        <scheme val="minor"/>
      </rPr>
      <t xml:space="preserve">
Univerzális, minden standard 180 cm hosszú gégecsőhöz használható.</t>
    </r>
  </si>
  <si>
    <t>Kiváló minőségű, rugalmas tartalék gégecső a Löwenstein terápiás készülékekhez. Biztonságos légáramlás és tartósság.</t>
  </si>
  <si>
    <r>
      <rPr>
        <b/>
        <sz val="11"/>
        <color theme="1"/>
        <rFont val="Calibri"/>
        <family val="2"/>
        <charset val="238"/>
        <scheme val="minor"/>
      </rPr>
      <t>Funkció:</t>
    </r>
    <r>
      <rPr>
        <sz val="11"/>
        <color theme="1"/>
        <rFont val="Calibri"/>
        <family val="2"/>
        <charset val="238"/>
        <scheme val="minor"/>
      </rPr>
      <t xml:space="preserve">
A Löwenstein gégecső felel a terápiás levegő akadálytalan és egyenletes szállításáért a készüléktől a maszkig. A speciális belső felület kialakítása minimálisra csökkenti a légáramlási zajt és a belső ellenállást. A rugalmas anyag elnyeli a páciens éjszakai mozgását, megóvva a maszkot az elmozdulástól.
</t>
    </r>
    <r>
      <rPr>
        <b/>
        <sz val="11"/>
        <color theme="1"/>
        <rFont val="Calibri"/>
        <family val="2"/>
        <charset val="238"/>
        <scheme val="minor"/>
      </rPr>
      <t>Használat:</t>
    </r>
    <r>
      <rPr>
        <sz val="11"/>
        <color theme="1"/>
        <rFont val="Calibri"/>
        <family val="2"/>
        <charset val="238"/>
        <scheme val="minor"/>
      </rPr>
      <t xml:space="preserve">
Csatlakoztassa a cső egyik végét a készülék levegőkimenetéhez, a másikat pedig a maszkhoz (vagy maszkcsőhöz). Győződjön meg róla, hogy a gumírozott végek szorosan és résmentesen illeszkednek.
</t>
    </r>
    <r>
      <rPr>
        <b/>
        <sz val="11"/>
        <color theme="1"/>
        <rFont val="Calibri"/>
        <family val="2"/>
        <charset val="238"/>
        <scheme val="minor"/>
      </rPr>
      <t>Tisztítás:</t>
    </r>
    <r>
      <rPr>
        <sz val="11"/>
        <color theme="1"/>
        <rFont val="Calibri"/>
        <family val="2"/>
        <charset val="238"/>
        <scheme val="minor"/>
      </rPr>
      <t xml:space="preserve">
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Fontos: Csak teljesen száraz csővel indítsa el a készüléket!
</t>
    </r>
    <r>
      <rPr>
        <b/>
        <sz val="11"/>
        <color theme="1"/>
        <rFont val="Calibri"/>
        <family val="2"/>
        <charset val="238"/>
        <scheme val="minor"/>
      </rPr>
      <t>Csereperiódus – A páciens felelőssége:</t>
    </r>
    <r>
      <rPr>
        <sz val="11"/>
        <color theme="1"/>
        <rFont val="Calibri"/>
        <family val="2"/>
        <charset val="238"/>
        <scheme val="minor"/>
      </rPr>
      <t xml:space="preserve">
A gégecső gyárilag a készülék tartozéka. A biztonságos terápia érdekében a gégecső évenkénti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 cső fala kireped, a csatlakozóvégek kilazulnak, vagy ha a belső felületén elszíneződést, lerakódást észlel, amit tisztítással nem lehet eltávolítani.
</t>
    </r>
    <r>
      <rPr>
        <b/>
        <sz val="11"/>
        <color theme="1"/>
        <rFont val="Calibri"/>
        <family val="2"/>
        <charset val="238"/>
        <scheme val="minor"/>
      </rPr>
      <t>Kompatibilitás:</t>
    </r>
    <r>
      <rPr>
        <sz val="11"/>
        <color theme="1"/>
        <rFont val="Calibri"/>
        <family val="2"/>
        <charset val="238"/>
        <scheme val="minor"/>
      </rPr>
      <t xml:space="preserve">
Löwenstein SomnoBalance, és a Prisma sorozat  (SMART, Prisma SMART Plus, 20A, 25S, 30ST, CR) és egyéb standard csatlakozóval ellátott készülékek.</t>
    </r>
  </si>
  <si>
    <t>Vékonyított kivitelű (15 mm), rendkívül könnyű és hajlékony gégecső. Eredeti Philips kiegészítő a DreamStation készülékekhez.</t>
  </si>
  <si>
    <r>
      <rPr>
        <b/>
        <sz val="11"/>
        <color theme="1"/>
        <rFont val="Calibri"/>
        <family val="2"/>
        <charset val="238"/>
        <scheme val="minor"/>
      </rPr>
      <t>Funkció:</t>
    </r>
    <r>
      <rPr>
        <sz val="11"/>
        <color theme="1"/>
        <rFont val="Calibri"/>
        <family val="2"/>
        <charset val="238"/>
        <scheme val="minor"/>
      </rPr>
      <t xml:space="preserve">
A Philips PR15 gégecső a modern alvásdiagnosztika elvárásainak megfelelően vékonyabb és könnyebb a hagyományos csöveknél. Feladata a maximális mozgásszabadság biztosítása az éjszaka folyamán, csökkentve a maszkra nehezedő súlyt és húzóerőt. A vékonyabb átmérő ellenére a készülék szoftvere pontosan kompenzálja a nyomást a tökéletes terápiás hatás érdekében.
</t>
    </r>
    <r>
      <rPr>
        <b/>
        <sz val="11"/>
        <color theme="1"/>
        <rFont val="Calibri"/>
        <family val="2"/>
        <charset val="238"/>
        <scheme val="minor"/>
      </rPr>
      <t>Használat:</t>
    </r>
    <r>
      <rPr>
        <sz val="11"/>
        <color theme="1"/>
        <rFont val="Calibri"/>
        <family val="2"/>
        <charset val="238"/>
        <scheme val="minor"/>
      </rPr>
      <t xml:space="preserve">
Csatlakoztassa a csövet a DreamStation készülék kimenetéhez. </t>
    </r>
    <r>
      <rPr>
        <b/>
        <sz val="11"/>
        <color theme="1"/>
        <rFont val="Calibri"/>
        <family val="2"/>
        <charset val="238"/>
        <scheme val="minor"/>
      </rPr>
      <t>Figyelem:</t>
    </r>
    <r>
      <rPr>
        <sz val="11"/>
        <color theme="1"/>
        <rFont val="Calibri"/>
        <family val="2"/>
        <charset val="238"/>
        <scheme val="minor"/>
      </rPr>
      <t xml:space="preserve"> A készülék menüjében állítsa be a cső átmérőjét (15 mm), ha a gép nem ismerné fel automatikusan. Ügyeljen a csatlakozók stabil illeszkedésére.
</t>
    </r>
    <r>
      <rPr>
        <b/>
        <sz val="11"/>
        <color theme="1"/>
        <rFont val="Calibri"/>
        <family val="2"/>
        <charset val="238"/>
        <scheme val="minor"/>
      </rPr>
      <t xml:space="preserve">Tisztítás </t>
    </r>
    <r>
      <rPr>
        <sz val="11"/>
        <color theme="1"/>
        <rFont val="Calibri"/>
        <family val="2"/>
        <charset val="238"/>
        <scheme val="minor"/>
      </rPr>
      <t>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Fontos: Csak teljesen száraz csővel indítsa el a készüléket!</t>
    </r>
    <r>
      <rPr>
        <b/>
        <sz val="11"/>
        <color theme="1"/>
        <rFont val="Calibri"/>
        <family val="2"/>
        <charset val="238"/>
        <scheme val="minor"/>
      </rPr>
      <t xml:space="preserve">
Csereperiódus – A páciens felelőssége:
</t>
    </r>
    <r>
      <rPr>
        <sz val="11"/>
        <color theme="1"/>
        <rFont val="Calibri"/>
        <family val="2"/>
        <charset val="238"/>
        <scheme val="minor"/>
      </rPr>
      <t>A gégecső gyárilag a készülék tartozéka. A biztonságos terápia érdekében a gégecső évenkénti cseréje indokolt lehet.</t>
    </r>
    <r>
      <rPr>
        <b/>
        <sz val="11"/>
        <color theme="1"/>
        <rFont val="Calibri"/>
        <family val="2"/>
        <charset val="238"/>
        <scheme val="minor"/>
      </rPr>
      <t xml:space="preserve">
   » Mikor cserélje korábban? </t>
    </r>
    <r>
      <rPr>
        <sz val="11"/>
        <color theme="1"/>
        <rFont val="Calibri"/>
        <family val="2"/>
        <charset val="238"/>
        <scheme val="minor"/>
      </rPr>
      <t xml:space="preserve">Ha a cső fala kireped, a csatlakozóvégek kilazulnak, vagy ha a belső felületén elszíneződést, lerakódást észlel, amit tisztítással nem lehet eltávolítani.
</t>
    </r>
    <r>
      <rPr>
        <b/>
        <sz val="11"/>
        <color theme="1"/>
        <rFont val="Calibri"/>
        <family val="2"/>
        <charset val="238"/>
        <scheme val="minor"/>
      </rPr>
      <t>Kompatibilitás:</t>
    </r>
    <r>
      <rPr>
        <sz val="11"/>
        <color theme="1"/>
        <rFont val="Calibri"/>
        <family val="2"/>
        <charset val="238"/>
        <scheme val="minor"/>
      </rPr>
      <t xml:space="preserve">
Philips DreamStation, DreamStation 2, és minden olyan készülék, amely támogatja a 15 mm-es (Slim) csőbeállítást.</t>
    </r>
  </si>
  <si>
    <t>Megerősített falú, nagy teherbírású univerzális gégecső fehér színben. Megbízható választás mindennapi használatra.</t>
  </si>
  <si>
    <r>
      <rPr>
        <b/>
        <sz val="11"/>
        <color theme="1"/>
        <rFont val="Calibri"/>
        <family val="2"/>
        <charset val="238"/>
        <scheme val="minor"/>
      </rPr>
      <t>Funkció:</t>
    </r>
    <r>
      <rPr>
        <sz val="11"/>
        <color theme="1"/>
        <rFont val="Calibri"/>
        <family val="2"/>
        <charset val="238"/>
        <scheme val="minor"/>
      </rPr>
      <t xml:space="preserve">
Ez a típus a tartósságra lett optimalizálva. Feladata a biztonságos levegőszállítás mellett az, hogy ellenálljon az éjszakai gyűrődéseknek és a gyakoribb mozgatásnak. 
</t>
    </r>
    <r>
      <rPr>
        <b/>
        <sz val="11"/>
        <color theme="1"/>
        <rFont val="Calibri"/>
        <family val="2"/>
        <charset val="238"/>
        <scheme val="minor"/>
      </rPr>
      <t>Használat:</t>
    </r>
    <r>
      <rPr>
        <sz val="11"/>
        <color theme="1"/>
        <rFont val="Calibri"/>
        <family val="2"/>
        <charset val="238"/>
        <scheme val="minor"/>
      </rPr>
      <t xml:space="preserve">
Csatlakoztassa a cső egyik végét a készülék levegőkimenetéhez, a másikat pedig a maszkhoz (vagy maszkcsőhöz). Győződjön meg róla, hogy a gumírozott végek szorosan és résmentesen illeszkednek.
</t>
    </r>
    <r>
      <rPr>
        <b/>
        <sz val="11"/>
        <color theme="1"/>
        <rFont val="Calibri"/>
        <family val="2"/>
        <charset val="238"/>
        <scheme val="minor"/>
      </rPr>
      <t>Tisztítás:</t>
    </r>
    <r>
      <rPr>
        <sz val="11"/>
        <color theme="1"/>
        <rFont val="Calibri"/>
        <family val="2"/>
        <charset val="238"/>
        <scheme val="minor"/>
      </rPr>
      <t xml:space="preserve">
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t>
    </r>
    <r>
      <rPr>
        <b/>
        <sz val="11"/>
        <color theme="1"/>
        <rFont val="Calibri"/>
        <family val="2"/>
        <charset val="238"/>
        <scheme val="minor"/>
      </rPr>
      <t>Fontos</t>
    </r>
    <r>
      <rPr>
        <sz val="11"/>
        <color theme="1"/>
        <rFont val="Calibri"/>
        <family val="2"/>
        <charset val="238"/>
        <scheme val="minor"/>
      </rPr>
      <t xml:space="preserve">: Csak teljesen száraz csővel indítsa el a készüléket!
</t>
    </r>
    <r>
      <rPr>
        <b/>
        <sz val="11"/>
        <color theme="1"/>
        <rFont val="Calibri"/>
        <family val="2"/>
        <charset val="238"/>
        <scheme val="minor"/>
      </rPr>
      <t>Csereperiódus – A páciens felelőssége:</t>
    </r>
    <r>
      <rPr>
        <sz val="11"/>
        <color theme="1"/>
        <rFont val="Calibri"/>
        <family val="2"/>
        <charset val="238"/>
        <scheme val="minor"/>
      </rPr>
      <t xml:space="preserve">
A gégecső gyárilag a készülék tartozéka. A biztonságos terápia érdekében a gégecső évenkénti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 cső fala kireped, a csatlakozóvégek kilazulnak, vagy ha a belső felületén elszíneződést, lerakódást észlel, amit tisztítással nem lehet eltávolítani.
</t>
    </r>
    <r>
      <rPr>
        <b/>
        <sz val="11"/>
        <color theme="1"/>
        <rFont val="Calibri"/>
        <family val="2"/>
        <charset val="238"/>
        <scheme val="minor"/>
      </rPr>
      <t>Kompatibilitás:</t>
    </r>
    <r>
      <rPr>
        <sz val="11"/>
        <color theme="1"/>
        <rFont val="Calibri"/>
        <family val="2"/>
        <charset val="238"/>
        <scheme val="minor"/>
      </rPr>
      <t xml:space="preserve">
Univerzális, minden standard 22 mm-es csatlakozóval rendelkező CPAP/BiPAP készülékhez.</t>
    </r>
  </si>
  <si>
    <t>Szín (fekete/fehér)</t>
  </si>
  <si>
    <t>1 db gégecső huzat</t>
  </si>
  <si>
    <t>1 db gégecső</t>
  </si>
  <si>
    <t>WM 24445; 1032907</t>
  </si>
  <si>
    <t>somno/prisma gégecső, tartós fehér gégecső</t>
  </si>
  <si>
    <t>G100; LMT 31920-1110; LMT 31785; WM 27420/s</t>
  </si>
  <si>
    <t>gégecső huzat, fehér és fekete prisma, somnobalance</t>
  </si>
  <si>
    <t>EUX500S15; G100</t>
  </si>
  <si>
    <t>Dreamstation készülék; gégecső huzat</t>
  </si>
  <si>
    <r>
      <rPr>
        <b/>
        <sz val="11"/>
        <color theme="1"/>
        <rFont val="Calibri"/>
        <family val="2"/>
        <charset val="238"/>
        <scheme val="minor"/>
      </rPr>
      <t>Funkció:</t>
    </r>
    <r>
      <rPr>
        <sz val="11"/>
        <color theme="1"/>
        <rFont val="Calibri"/>
        <family val="2"/>
        <charset val="238"/>
        <scheme val="minor"/>
      </rPr>
      <t xml:space="preserve">
A Philips DreamStation fűthető gégecső a párásítóval kiegészített terápia elengedhetetlen eszköze. Feladata, hogy a készülék és a maszk közötti úton végig melegen tartsa a nedvesített levegőt, megakadályozva a vízcseppek kicsapódását (kondenzációt). Ezáltal megszünteti a maszkba jutó víz okozta kényelmetlenséget és a "szörcsögő" hangokat.
</t>
    </r>
    <r>
      <rPr>
        <b/>
        <sz val="11"/>
        <color theme="1"/>
        <rFont val="Calibri"/>
        <family val="2"/>
        <charset val="238"/>
        <scheme val="minor"/>
      </rPr>
      <t>Használat:</t>
    </r>
    <r>
      <rPr>
        <sz val="11"/>
        <color theme="1"/>
        <rFont val="Calibri"/>
        <family val="2"/>
        <charset val="238"/>
        <scheme val="minor"/>
      </rPr>
      <t xml:space="preserve">
A cső speciális, érintkezőkkel ellátott végét csatlakoztassa a DreamStation készülék elektromos fogadóaljzatához. Ügyeljen rá, hogy a csatlakozó száraz legyen, és pontosan illeszkedjen. A készülék automatikusan felismeri a csövet, és lehetővé teszi a hőmérséklet beállítását a menürendszerben.
</t>
    </r>
    <r>
      <rPr>
        <b/>
        <sz val="11"/>
        <color theme="1"/>
        <rFont val="Calibri"/>
        <family val="2"/>
        <charset val="238"/>
        <scheme val="minor"/>
      </rPr>
      <t>Tisztítás:</t>
    </r>
    <r>
      <rPr>
        <sz val="11"/>
        <color theme="1"/>
        <rFont val="Calibri"/>
        <family val="2"/>
        <charset val="238"/>
        <scheme val="minor"/>
      </rPr>
      <t xml:space="preserve">
A tisztítás során különös figyelmet kell fordítani az elektromos csatlakozókra! A cső belsejét langyos mosogatószeres vízzel öblítse át, de az elektromos érintkezőket ne merítse vízbe, és ügyeljen rá, hogy használat előtt az egész alkatrész – különösen a csatlakozó rész – teljesen száraz legyen.
</t>
    </r>
    <r>
      <rPr>
        <b/>
        <sz val="11"/>
        <color theme="1"/>
        <rFont val="Calibri"/>
        <family val="2"/>
        <charset val="238"/>
        <scheme val="minor"/>
      </rPr>
      <t>Csereperiódus – A páciens felelőssége:</t>
    </r>
    <r>
      <rPr>
        <sz val="11"/>
        <color theme="1"/>
        <rFont val="Calibri"/>
        <family val="2"/>
        <charset val="238"/>
        <scheme val="minor"/>
      </rPr>
      <t xml:space="preserve">
A gégecső gyárilag a készülék tartozéka. A biztonságos terápia érdekében a gégecső évenkénti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 cső fala kireped, a csatlakozóvégek kilazulnak, ha a fűtőszál hibát jelez a készüléken, vagy ha a belső felületén elszíneződést, lerakódást észlel, amit tisztítással nem lehet eltávolítani.
</t>
    </r>
    <r>
      <rPr>
        <b/>
        <sz val="11"/>
        <color theme="1"/>
        <rFont val="Calibri"/>
        <family val="2"/>
        <charset val="238"/>
        <scheme val="minor"/>
      </rPr>
      <t>Kompatibilitás:</t>
    </r>
    <r>
      <rPr>
        <sz val="11"/>
        <color theme="1"/>
        <rFont val="Calibri"/>
        <family val="2"/>
        <charset val="238"/>
        <scheme val="minor"/>
      </rPr>
      <t xml:space="preserve">
Kizárólag Philips DreamStation készülékekhez.
</t>
    </r>
  </si>
  <si>
    <r>
      <rPr>
        <b/>
        <sz val="11"/>
        <color theme="1"/>
        <rFont val="Calibri"/>
        <family val="2"/>
        <charset val="238"/>
        <scheme val="minor"/>
      </rPr>
      <t>Funkció:</t>
    </r>
    <r>
      <rPr>
        <sz val="11"/>
        <color theme="1"/>
        <rFont val="Calibri"/>
        <family val="2"/>
        <charset val="238"/>
        <scheme val="minor"/>
      </rPr>
      <t xml:space="preserve">
A fűthető gégecső a legmagasabb szintű komfortot nyújtja párásító használata mellett. Feladata, hogy a készüléktől a maszkig melegen tartsa a levegőt, így télen vagy hűvös hálószobában is megakadályozza a víz kicsapódását. Biztosítja, hogy a páciens torkát ne irritálja a hideg levegő, és a párásítás hatékonysága maximális maradjon.
</t>
    </r>
    <r>
      <rPr>
        <b/>
        <sz val="11"/>
        <color theme="1"/>
        <rFont val="Calibri"/>
        <family val="2"/>
        <charset val="238"/>
        <scheme val="minor"/>
      </rPr>
      <t>Használat:</t>
    </r>
    <r>
      <rPr>
        <sz val="11"/>
        <color theme="1"/>
        <rFont val="Calibri"/>
        <family val="2"/>
        <charset val="238"/>
        <scheme val="minor"/>
      </rPr>
      <t xml:space="preserve">
A cső elektromos csatlakozóval ellátott végét illessze a készülék párásítójának kimenetéhez (figyeljen az érintkezők pontos irányára). A gép automatikusan felismeri a fűthető csövet, és lehetővé teszi a hőmérséklet finomhangolását a menüben.
</t>
    </r>
    <r>
      <rPr>
        <b/>
        <sz val="11"/>
        <color theme="1"/>
        <rFont val="Calibri"/>
        <family val="2"/>
        <charset val="238"/>
        <scheme val="minor"/>
      </rPr>
      <t>Tisztítás:</t>
    </r>
    <r>
      <rPr>
        <sz val="11"/>
        <color theme="1"/>
        <rFont val="Calibri"/>
        <family val="2"/>
        <charset val="238"/>
        <scheme val="minor"/>
      </rPr>
      <t xml:space="preserve">
Tisztítása megegyezik a standard csövekével, de fokozottan ügyeljen rá, hogy az elektromos csatlakozó rész a használat előtt teljesen száraz legyen! Soha ne merítse vízbe a csatlakozóvéget, csak folyó vízzel öblítse a cső belsejét.
</t>
    </r>
    <r>
      <rPr>
        <b/>
        <sz val="11"/>
        <color theme="1"/>
        <rFont val="Calibri"/>
        <family val="2"/>
        <charset val="238"/>
        <scheme val="minor"/>
      </rPr>
      <t>Csereperiódus – A páciens felelőssége:</t>
    </r>
    <r>
      <rPr>
        <sz val="11"/>
        <color theme="1"/>
        <rFont val="Calibri"/>
        <family val="2"/>
        <charset val="238"/>
        <scheme val="minor"/>
      </rPr>
      <t xml:space="preserve">
A gégecső gyárilag a készülék tartozéka. A biztonságos terápia érdekében a gégecső évenkénti cseréje indokolt lehet.
 </t>
    </r>
    <r>
      <rPr>
        <b/>
        <sz val="11"/>
        <color theme="1"/>
        <rFont val="Calibri"/>
        <family val="2"/>
        <charset val="238"/>
        <scheme val="minor"/>
      </rPr>
      <t xml:space="preserve">  » Mikor cserélje korábban?</t>
    </r>
    <r>
      <rPr>
        <sz val="11"/>
        <color theme="1"/>
        <rFont val="Calibri"/>
        <family val="2"/>
        <charset val="238"/>
        <scheme val="minor"/>
      </rPr>
      <t xml:space="preserve"> Ha a cső fala kireped, a csatlakozóvégek kilazulnak, ha a fűtőszál hibát jelez a készüléken, vagy ha a belső felületén elszíneződést, lerakódást észlel, amit tisztítással nem lehet eltávolítani.
</t>
    </r>
    <r>
      <rPr>
        <b/>
        <sz val="11"/>
        <color theme="1"/>
        <rFont val="Calibri"/>
        <family val="2"/>
        <charset val="238"/>
        <scheme val="minor"/>
      </rPr>
      <t>Kompatibilitás:</t>
    </r>
    <r>
      <rPr>
        <sz val="11"/>
        <color theme="1"/>
        <rFont val="Calibri"/>
        <family val="2"/>
        <charset val="238"/>
        <scheme val="minor"/>
      </rPr>
      <t xml:space="preserve">
Kizárólag Löwenstein Prisma készülékekhez.</t>
    </r>
  </si>
  <si>
    <t>Integrált elektromos csatlakozóval ellátott prémium gégecső, amely kizárólag a PrismaAqua fűtött párásítóval együtt használva biztosít kondenzvíz-mentes, állandó hőmérsékletű terápiát.</t>
  </si>
  <si>
    <t>Integrált elektromos csatlakozóval ellátott prémium gégecső, amely kizárólag a DreamStation fűtött párásítóval együtt használva biztosít kondenzvíz-mentes, állandó hőmérsékletű terápiát.</t>
  </si>
  <si>
    <t>EUX500S15; EUXH</t>
  </si>
  <si>
    <t>Dreamstation készülék; Dreamstation párásító</t>
  </si>
  <si>
    <t>LMT 31920-1110; LMT 31785; WM 29490; WM 29680</t>
  </si>
  <si>
    <t>prisma fehér/fekete készülék, és fehér/fekete párásítü</t>
  </si>
  <si>
    <t>Tartalék záródugó a párásító tartály egyszerű feltöltéséhez és biztonságos lezárásához. A SOMNOaqua párásító egység eredeti kiegészítője.</t>
  </si>
  <si>
    <r>
      <rPr>
        <b/>
        <sz val="11"/>
        <color theme="1"/>
        <rFont val="Calibri"/>
        <family val="2"/>
        <charset val="238"/>
        <scheme val="minor"/>
      </rPr>
      <t>Funkció:</t>
    </r>
    <r>
      <rPr>
        <sz val="11"/>
        <color theme="1"/>
        <rFont val="Calibri"/>
        <family val="2"/>
        <charset val="238"/>
        <scheme val="minor"/>
      </rPr>
      <t xml:space="preserve">
A SOMNOaqua párásító dugó a víztartály feltöltő nyílásának hermetikus lezárásáért felel. Feladata, hogy megakadályozza a terápiás nyomás elszökését a rendszerből, illetve meggátolja a víz véletlen kifolyását a tartályból. A megfelelően záródó dugó elengedhetetlen a stabil CPAP nyomás fenntartásához és a párásítás hatékonyságához.
</t>
    </r>
    <r>
      <rPr>
        <b/>
        <sz val="11"/>
        <color theme="1"/>
        <rFont val="Calibri"/>
        <family val="2"/>
        <charset val="238"/>
        <scheme val="minor"/>
      </rPr>
      <t>Használat:</t>
    </r>
    <r>
      <rPr>
        <sz val="11"/>
        <color theme="1"/>
        <rFont val="Calibri"/>
        <family val="2"/>
        <charset val="238"/>
        <scheme val="minor"/>
      </rPr>
      <t xml:space="preserve">
A tartály feltöltése után illessze a dugót a nyílásba, és határozott mozdulattal nyomja a helyére. Győződjön meg róla, hogy az alkatrész teljesen és egyenletesen illeszkedik, nem maradt rés a peremnél. A tiszta és ép felület garantálja a légmentes záródást.
</t>
    </r>
    <r>
      <rPr>
        <b/>
        <sz val="11"/>
        <color theme="1"/>
        <rFont val="Calibri"/>
        <family val="2"/>
        <charset val="238"/>
        <scheme val="minor"/>
      </rPr>
      <t>Tisztítás:</t>
    </r>
    <r>
      <rPr>
        <sz val="11"/>
        <color theme="1"/>
        <rFont val="Calibri"/>
        <family val="2"/>
        <charset val="238"/>
        <scheme val="minor"/>
      </rPr>
      <t xml:space="preserve">
A higiénia megőrzése érdekében a dugót hetente legalább egyszer javasolt megtisztítani. Használjon langyos mosogatószeres vizet, alaposan mossa át, majd öblítse le tiszta vízzel. Hagyja levegőn megszáradni. Kerülje az agresszív vegyszereket, mert azok károsíthatják az alkatrész anyagát és rugalmasságát.
</t>
    </r>
    <r>
      <rPr>
        <b/>
        <sz val="11"/>
        <color theme="1"/>
        <rFont val="Calibri"/>
        <family val="2"/>
        <charset val="238"/>
        <scheme val="minor"/>
      </rPr>
      <t xml:space="preserve">Csereperiódus – A páciens felelőssége:
</t>
    </r>
    <r>
      <rPr>
        <sz val="11"/>
        <color theme="1"/>
        <rFont val="Calibri"/>
        <family val="2"/>
        <charset val="238"/>
        <scheme val="minor"/>
      </rPr>
      <t>A biztonságos használat és a higiénia érdekében a dugó évenkénti cseréje indokolt lehet.
    </t>
    </r>
    <r>
      <rPr>
        <b/>
        <sz val="11"/>
        <color theme="1"/>
        <rFont val="Calibri"/>
        <family val="2"/>
        <charset val="238"/>
        <scheme val="minor"/>
      </rPr>
      <t xml:space="preserve">» Mikor cserélje korábban? </t>
    </r>
    <r>
      <rPr>
        <sz val="11"/>
        <color theme="1"/>
        <rFont val="Calibri"/>
        <family val="2"/>
        <charset val="238"/>
        <scheme val="minor"/>
      </rPr>
      <t xml:space="preserve">Ha a dugó anyaga megkeményedik, elszíneződik, vagy ha a behelyezés után levegőszivárgást észlel a nyílásnál, az alkatrész cseréje azonnal szükségessé válik.
</t>
    </r>
    <r>
      <rPr>
        <b/>
        <sz val="11"/>
        <color theme="1"/>
        <rFont val="Calibri"/>
        <family val="2"/>
        <charset val="238"/>
        <scheme val="minor"/>
      </rPr>
      <t>Kompatibilitás:</t>
    </r>
    <r>
      <rPr>
        <sz val="11"/>
        <color theme="1"/>
        <rFont val="Calibri"/>
        <family val="2"/>
        <charset val="238"/>
        <scheme val="minor"/>
      </rPr>
      <t xml:space="preserve">
Kizárólag a Löwenstein SOMNOaqua párásító készülékhez használható.</t>
    </r>
  </si>
  <si>
    <t>Precíz illeszkedést biztosító tartalék tömítőgyűrű a víztartály és a készülék közötti légmentes kapcsolatért. A SOMNOaqua párásító egység eredeti kiegészítője.</t>
  </si>
  <si>
    <r>
      <rPr>
        <b/>
        <sz val="11"/>
        <color theme="1"/>
        <rFont val="Calibri"/>
        <family val="2"/>
        <charset val="238"/>
        <scheme val="minor"/>
      </rPr>
      <t>Funkció:</t>
    </r>
    <r>
      <rPr>
        <sz val="11"/>
        <color theme="1"/>
        <rFont val="Calibri"/>
        <family val="2"/>
        <charset val="238"/>
        <scheme val="minor"/>
      </rPr>
      <t xml:space="preserve">
A SOMNOaqua párásító gumi a párásító egység központi tömítőeleme. Feladata a víztartály és a készülékház közötti résmentes összeköttetés biztosítása, megakadályozva a terápiás levegő szivárgását. A minőségi alapanyag garantálja, hogy a párásító rendszerben a nyomás állandó maradjon, így biztosítva a terápia folytonosságát és a nyálkahártya megfelelő védelmét.
</t>
    </r>
    <r>
      <rPr>
        <b/>
        <sz val="11"/>
        <color theme="1"/>
        <rFont val="Calibri"/>
        <family val="2"/>
        <charset val="238"/>
        <scheme val="minor"/>
      </rPr>
      <t>Használat:</t>
    </r>
    <r>
      <rPr>
        <sz val="11"/>
        <color theme="1"/>
        <rFont val="Calibri"/>
        <family val="2"/>
        <charset val="238"/>
        <scheme val="minor"/>
      </rPr>
      <t xml:space="preserve">
Helyezze a gumitömítést a párásító fedelébe vagy a kijelölt csatlakozási pontra. Ügyeljen rá, hogy a gumi gyűrődésmentesen, a teljes kerület mentén pontosan illeszkedik. A behelyezésnél törekedjen a szimmetriára, hogy a tartály lezárásakor a gumi minden ponton egyenletesen feküdjön fel.
</t>
    </r>
    <r>
      <rPr>
        <b/>
        <sz val="11"/>
        <color theme="1"/>
        <rFont val="Calibri"/>
        <family val="2"/>
        <charset val="238"/>
        <scheme val="minor"/>
      </rPr>
      <t>Tisztítás:</t>
    </r>
    <r>
      <rPr>
        <sz val="11"/>
        <color theme="1"/>
        <rFont val="Calibri"/>
        <family val="2"/>
        <charset val="238"/>
        <scheme val="minor"/>
      </rPr>
      <t xml:space="preserve">
A higiénia és a rugalmasság megőrzése érdekében a gumit hetente legalább egyszer vegye ki és mossa el langyos mosogatószeres vízben. Alaposan öblítse le, és hagyja levegőn megszáradni. Ne tegye ki közvetlen hőnek (pl. radiátor), mert az az anyag kiszáradásához és repedezéséhez vezethet.
</t>
    </r>
    <r>
      <rPr>
        <b/>
        <sz val="11"/>
        <color theme="1"/>
        <rFont val="Calibri"/>
        <family val="2"/>
        <charset val="238"/>
        <scheme val="minor"/>
      </rPr>
      <t>Csereperiódus – A páciens felelőssége:</t>
    </r>
    <r>
      <rPr>
        <sz val="11"/>
        <color theme="1"/>
        <rFont val="Calibri"/>
        <family val="2"/>
        <charset val="238"/>
        <scheme val="minor"/>
      </rPr>
      <t xml:space="preserve">
Az anyag tartóssága és a higiénia miatt a tömítőgumi évenkénti cseréje javasolt.
    </t>
    </r>
    <r>
      <rPr>
        <b/>
        <sz val="11"/>
        <color theme="1"/>
        <rFont val="Calibri"/>
        <family val="2"/>
        <charset val="238"/>
        <scheme val="minor"/>
      </rPr>
      <t>» Mikor cserélje korábban?</t>
    </r>
    <r>
      <rPr>
        <sz val="11"/>
        <color theme="1"/>
        <rFont val="Calibri"/>
        <family val="2"/>
        <charset val="238"/>
        <scheme val="minor"/>
      </rPr>
      <t xml:space="preserve"> Amennyiben a gumi megnyúlik, látható repedések jelennek meg rajta, elszíneződik, vagy ha a párásító használata közben „sziszegő” hangot (levegőszivárgást) hall a tartály környékéről.
</t>
    </r>
    <r>
      <rPr>
        <b/>
        <sz val="11"/>
        <color theme="1"/>
        <rFont val="Calibri"/>
        <family val="2"/>
        <charset val="238"/>
        <scheme val="minor"/>
      </rPr>
      <t>Kompatibilitás:</t>
    </r>
    <r>
      <rPr>
        <sz val="11"/>
        <color theme="1"/>
        <rFont val="Calibri"/>
        <family val="2"/>
        <charset val="238"/>
        <scheme val="minor"/>
      </rPr>
      <t xml:space="preserve">
Kizárólag a Löwenstein SOMNOaqua párásító készülékhez használható.</t>
    </r>
  </si>
  <si>
    <t>Somnoaqua párásító</t>
  </si>
  <si>
    <t>1 db párásító dugó</t>
  </si>
  <si>
    <t>1 db párásító gumi</t>
  </si>
  <si>
    <t>Prémium kialakítású, átlátszó víztartály a Prisma készülékcsalád párásító egységéhez. Egyszerű kezelhetőség és maximális higiénia.</t>
  </si>
  <si>
    <r>
      <rPr>
        <b/>
        <sz val="11"/>
        <color theme="1"/>
        <rFont val="Calibri"/>
        <family val="2"/>
        <charset val="238"/>
        <scheme val="minor"/>
      </rPr>
      <t>Funkció:</t>
    </r>
    <r>
      <rPr>
        <sz val="11"/>
        <color theme="1"/>
        <rFont val="Calibri"/>
        <family val="2"/>
        <charset val="238"/>
        <scheme val="minor"/>
      </rPr>
      <t xml:space="preserve">
A Löwenstein prismaAQUA vízkamra a Prisma készülékek párásítási rendszerének központi eleme. Feladata a víz tárolása és a levegő optimális nedvesítése. Az átlátszó fal lehetővé teszi a vízszint könnyű ellenőrzését, a speciális forma pedig garantálja a cseppmentes működést és a könnyű tisztíthatóságot.
</t>
    </r>
    <r>
      <rPr>
        <b/>
        <sz val="11"/>
        <color theme="1"/>
        <rFont val="Calibri"/>
        <family val="2"/>
        <charset val="238"/>
        <scheme val="minor"/>
      </rPr>
      <t>Használat:</t>
    </r>
    <r>
      <rPr>
        <sz val="11"/>
        <color theme="1"/>
        <rFont val="Calibri"/>
        <family val="2"/>
        <charset val="238"/>
        <scheme val="minor"/>
      </rPr>
      <t xml:space="preserve">
A tartályt a készülék elejéből gombnyomással tudja kioldani. Töltse fel desztillált vízzel a jelzésig, majd pattintsa vissza a helyére. Ügyeljen rá, hogy a tartály megfelelően illeszkedjen, különben a készülék hibaüzenetet adhat vagy szivároghat.
</t>
    </r>
    <r>
      <rPr>
        <b/>
        <sz val="11"/>
        <color theme="1"/>
        <rFont val="Calibri"/>
        <family val="2"/>
        <charset val="238"/>
        <scheme val="minor"/>
      </rPr>
      <t>Tisztítás:</t>
    </r>
    <r>
      <rPr>
        <sz val="11"/>
        <color theme="1"/>
        <rFont val="Calibri"/>
        <family val="2"/>
        <charset val="238"/>
        <scheme val="minor"/>
      </rPr>
      <t xml:space="preserve">
A tartályt naponta ürítse ki és öblítse ki. Hetente végezzen alapos tisztítást langyos mosogatószeres vízzel. A vízkő megelőzése érdekében kizárólag desztillált víz használata javasolt, vízkőtelenítés céljából enyhe ecetes oldatos áztatás és tisztítás lehet indokolt.
</t>
    </r>
    <r>
      <rPr>
        <b/>
        <sz val="11"/>
        <color theme="1"/>
        <rFont val="Calibri"/>
        <family val="2"/>
        <charset val="238"/>
        <scheme val="minor"/>
      </rPr>
      <t>Csereperiódus – A páciens felelőssége:</t>
    </r>
    <r>
      <rPr>
        <sz val="11"/>
        <color theme="1"/>
        <rFont val="Calibri"/>
        <family val="2"/>
        <charset val="238"/>
        <scheme val="minor"/>
      </rPr>
      <t xml:space="preserve">
Az optimális higiénia érdekében a vízkamra évenkénti cseréje javasolt.
</t>
    </r>
    <r>
      <rPr>
        <b/>
        <sz val="11"/>
        <color theme="1"/>
        <rFont val="Calibri"/>
        <family val="2"/>
        <charset val="238"/>
        <scheme val="minor"/>
      </rPr>
      <t xml:space="preserve">   » Mikor cserélje korábban?</t>
    </r>
    <r>
      <rPr>
        <sz val="11"/>
        <color theme="1"/>
        <rFont val="Calibri"/>
        <family val="2"/>
        <charset val="238"/>
        <scheme val="minor"/>
      </rPr>
      <t xml:space="preserve"> Elszíneződés, repedés, a tömítőgyűrű sérülése vagy makacs lerakódások esetén az alkatrészt ki kell cserélni a biztonságos terápia érdekében.
</t>
    </r>
    <r>
      <rPr>
        <b/>
        <sz val="11"/>
        <color theme="1"/>
        <rFont val="Calibri"/>
        <family val="2"/>
        <charset val="238"/>
        <scheme val="minor"/>
      </rPr>
      <t>Kompatibilitás:</t>
    </r>
    <r>
      <rPr>
        <sz val="11"/>
        <color theme="1"/>
        <rFont val="Calibri"/>
        <family val="2"/>
        <charset val="238"/>
        <scheme val="minor"/>
      </rPr>
      <t xml:space="preserve">
Löwenstein prismaAQUA párásítóhoz.</t>
    </r>
  </si>
  <si>
    <t>Speciális autós/kamionos adapter, amely lehetővé teszi a Prisma készülékek használatát utazás közben is. 12V és 24V rendszerrel is kompatibilis.</t>
  </si>
  <si>
    <r>
      <rPr>
        <b/>
        <sz val="11"/>
        <color theme="1"/>
        <rFont val="Calibri"/>
        <family val="2"/>
        <charset val="238"/>
        <scheme val="minor"/>
      </rPr>
      <t>Funkció:</t>
    </r>
    <r>
      <rPr>
        <sz val="11"/>
        <color theme="1"/>
        <rFont val="Calibri"/>
        <family val="2"/>
        <charset val="238"/>
        <scheme val="minor"/>
      </rPr>
      <t xml:space="preserve">
A prisma DC adapter feladata, hogy biztonságos és stabil tápellátást biztosítson a Löwenstein Prisma készülékek számára gépjárművek (autó, lakóautó, kamion, hajó) akkumulátoráról. Lehetővé teszi, hogy a páciens az otthonától távol, utazás közben se kényszerüljön a terápia megszakítására. Az adapter intelligens védelmi funkciókkal rendelkezik a feszültségingadozások ellen.
</t>
    </r>
    <r>
      <rPr>
        <b/>
        <sz val="11"/>
        <color theme="1"/>
        <rFont val="Calibri"/>
        <family val="2"/>
        <charset val="238"/>
        <scheme val="minor"/>
      </rPr>
      <t>Használat:</t>
    </r>
    <r>
      <rPr>
        <sz val="11"/>
        <color theme="1"/>
        <rFont val="Calibri"/>
        <family val="2"/>
        <charset val="238"/>
        <scheme val="minor"/>
      </rPr>
      <t xml:space="preserve">
Csatlakoztassa az adaptert a jármű szivargyújtó aljzatához, a másik végét pedig a készülék tápbemenetéhez. Ügyeljen rá, hogy a csatlakozó pontosan és stabilan illeszkedjen az aljzatba. 
</t>
    </r>
    <r>
      <rPr>
        <b/>
        <sz val="11"/>
        <color theme="1"/>
        <rFont val="Calibri"/>
        <family val="2"/>
        <charset val="238"/>
        <scheme val="minor"/>
      </rPr>
      <t>Karbantartás:</t>
    </r>
    <r>
      <rPr>
        <sz val="11"/>
        <color theme="1"/>
        <rFont val="Calibri"/>
        <family val="2"/>
        <charset val="238"/>
        <scheme val="minor"/>
      </rPr>
      <t xml:space="preserve">
Tartsa az adaptert szárazon és portól mentesen. Használat után ne tekerje szorosan a kábel köré a vezetéket, mert a belső törések elkerülése érdekében a kábelnek természetes ívben kell állnia. Tisztítása csak száraz vagy enyhén nedves (nem vizes!) törlőkendővel történhet, áramtalanított állapotban.
</t>
    </r>
    <r>
      <rPr>
        <b/>
        <sz val="11"/>
        <color theme="1"/>
        <rFont val="Calibri"/>
        <family val="2"/>
        <charset val="238"/>
        <scheme val="minor"/>
      </rPr>
      <t>Csereperiódus – A páciens felelőssége:</t>
    </r>
    <r>
      <rPr>
        <sz val="11"/>
        <color theme="1"/>
        <rFont val="Calibri"/>
        <family val="2"/>
        <charset val="238"/>
        <scheme val="minor"/>
      </rPr>
      <t xml:space="preserve">
Bár a tápegységek nem rendelkeznek fix csereperiódussal, a biztonság érdekében évente javasolt a kábel és a csatlakozók alapos átvizsgálása.
   </t>
    </r>
    <r>
      <rPr>
        <b/>
        <sz val="11"/>
        <color theme="1"/>
        <rFont val="Calibri"/>
        <family val="2"/>
        <charset val="238"/>
        <scheme val="minor"/>
      </rPr>
      <t xml:space="preserve"> » Mikor cserélje azonnal? </t>
    </r>
    <r>
      <rPr>
        <sz val="11"/>
        <color theme="1"/>
        <rFont val="Calibri"/>
        <family val="2"/>
        <charset val="238"/>
        <scheme val="minor"/>
      </rPr>
      <t xml:space="preserve">Ha a kábel külső szigetelése megsérült, a csatlakozófej lötyög vagy elszíneződött, illetve ha a készülék tápellátása bizonytalanná válik (ki-be kapcsol). Sérült kábellel a készüléket használni életveszélyes és tilos!
</t>
    </r>
    <r>
      <rPr>
        <b/>
        <sz val="11"/>
        <color theme="1"/>
        <rFont val="Calibri"/>
        <family val="2"/>
        <charset val="238"/>
        <scheme val="minor"/>
      </rPr>
      <t>Kompatibilitás:</t>
    </r>
    <r>
      <rPr>
        <sz val="11"/>
        <color theme="1"/>
        <rFont val="Calibri"/>
        <family val="2"/>
        <charset val="238"/>
        <scheme val="minor"/>
      </rPr>
      <t xml:space="preserve">
Löwenstein Prisma sorozatú készülékekhez (SMART, 20A, 25ST, CR)</t>
    </r>
  </si>
  <si>
    <t>Eredeti hálózati tápegység a Prisma készülékcsaládhoz. Stabil és biztonságos energiaellátás mindennapi használatra.</t>
  </si>
  <si>
    <r>
      <rPr>
        <b/>
        <sz val="11"/>
        <color theme="1"/>
        <rFont val="Calibri"/>
        <family val="2"/>
        <charset val="238"/>
        <scheme val="minor"/>
      </rPr>
      <t>Funkció:</t>
    </r>
    <r>
      <rPr>
        <sz val="11"/>
        <color theme="1"/>
        <rFont val="Calibri"/>
        <family val="2"/>
        <charset val="238"/>
        <scheme val="minor"/>
      </rPr>
      <t xml:space="preserve">
A prisma20A tápegység a fali konnektorból érkező váltóáramot alakítja át a készülék számára szükséges stabil egyenárammá. Feladata a folyamatos, zavarmentes működés biztosítása egész éjszaka. Az eredeti gyári alkatrész garantálja a készülék elektronikus védelmét és a hosszú élettartamot.
</t>
    </r>
    <r>
      <rPr>
        <b/>
        <sz val="11"/>
        <color theme="1"/>
        <rFont val="Calibri"/>
        <family val="2"/>
        <charset val="238"/>
        <scheme val="minor"/>
      </rPr>
      <t>Használat:</t>
    </r>
    <r>
      <rPr>
        <sz val="11"/>
        <color theme="1"/>
        <rFont val="Calibri"/>
        <family val="2"/>
        <charset val="238"/>
        <scheme val="minor"/>
      </rPr>
      <t xml:space="preserve">
Csatlakoztassa a hálózati tápkábelt a tápegységhez, majd a tápegység kimeneti csatlakozóját a készülékhez. Különösen ügyeljen a csatlakozófej belsejében található érzékeny tüskére; a csatlakozót óvatosan, merőlegesen illessze a helyére, hogy elkerülje a tüske elhajlását vagy törését.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t>
    </r>
    <r>
      <rPr>
        <b/>
        <sz val="11"/>
        <color theme="1"/>
        <rFont val="Calibri"/>
        <family val="2"/>
        <charset val="238"/>
        <scheme val="minor"/>
      </rPr>
      <t>Karbantartás:</t>
    </r>
    <r>
      <rPr>
        <sz val="11"/>
        <color theme="1"/>
        <rFont val="Calibri"/>
        <family val="2"/>
        <charset val="238"/>
        <scheme val="minor"/>
      </rPr>
      <t xml:space="preserve">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t>
    </r>
    <r>
      <rPr>
        <b/>
        <sz val="11"/>
        <color theme="1"/>
        <rFont val="Calibri"/>
        <family val="2"/>
        <charset val="238"/>
        <scheme val="minor"/>
      </rPr>
      <t>Csereperiódus – A páciens felelőssége:</t>
    </r>
    <r>
      <rPr>
        <sz val="11"/>
        <color theme="1"/>
        <rFont val="Calibri"/>
        <family val="2"/>
        <charset val="238"/>
        <scheme val="minor"/>
      </rPr>
      <t xml:space="preserve">
Bár a tápegységek nem rendelkeznek fix csereperiódussal, a biztonság érdekében évente javasolt a kábel és a csatlakozók alapos átvizsgálása.
    </t>
    </r>
    <r>
      <rPr>
        <b/>
        <sz val="11"/>
        <color theme="1"/>
        <rFont val="Calibri"/>
        <family val="2"/>
        <charset val="238"/>
        <scheme val="minor"/>
      </rPr>
      <t xml:space="preserve">» Mikor cserélje azonnal? </t>
    </r>
    <r>
      <rPr>
        <sz val="11"/>
        <color theme="1"/>
        <rFont val="Calibri"/>
        <family val="2"/>
        <charset val="238"/>
        <scheme val="minor"/>
      </rPr>
      <t xml:space="preserve">Ha a kábel külső szigetelése megsérült, a csatlakozófej lötyög vagy elszíneződött, illetve ha a készülék tápellátása bizonytalanná válik (ki-be kapcsol). Sérült kábellel a készüléket használni életveszélyes és tilos!
</t>
    </r>
    <r>
      <rPr>
        <b/>
        <sz val="11"/>
        <color theme="1"/>
        <rFont val="Calibri"/>
        <family val="2"/>
        <charset val="238"/>
        <scheme val="minor"/>
      </rPr>
      <t>Kompatibilitás:</t>
    </r>
    <r>
      <rPr>
        <sz val="11"/>
        <color theme="1"/>
        <rFont val="Calibri"/>
        <family val="2"/>
        <charset val="238"/>
        <scheme val="minor"/>
      </rPr>
      <t xml:space="preserve">
Löwenstein Prisma 20A, Prisma SMART, Prisma SOFT készülékekhez.</t>
    </r>
  </si>
  <si>
    <t>Eredeti gyári hálózati adapter a SOMNObalance és SOMNOsoft készülékekhez. Megbízható energiaellátás a stabil terápiához.</t>
  </si>
  <si>
    <r>
      <rPr>
        <b/>
        <sz val="11"/>
        <color theme="1"/>
        <rFont val="Calibri"/>
        <family val="2"/>
        <charset val="238"/>
        <scheme val="minor"/>
      </rPr>
      <t>Funkció:</t>
    </r>
    <r>
      <rPr>
        <sz val="11"/>
        <color theme="1"/>
        <rFont val="Calibri"/>
        <family val="2"/>
        <charset val="238"/>
        <scheme val="minor"/>
      </rPr>
      <t xml:space="preserve">
Ez a tápegység kifejezetten a SOMNO-sorozat elektronikai igényeihez lett kalibrálva. Feladata a készülék és a csatlakoztatott párásító (SOMNOaqua) egyidejű, biztonságos energiaellátása. Az integrált túlfeszültség-védelem óvja a készülék precíziós motorját a hálózati ingadozásoktól.
</t>
    </r>
    <r>
      <rPr>
        <b/>
        <sz val="11"/>
        <color theme="1"/>
        <rFont val="Calibri"/>
        <family val="2"/>
        <charset val="238"/>
        <scheme val="minor"/>
      </rPr>
      <t xml:space="preserve">Használat:
</t>
    </r>
    <r>
      <rPr>
        <sz val="11"/>
        <color theme="1"/>
        <rFont val="Calibri"/>
        <family val="2"/>
        <charset val="238"/>
        <scheme val="minor"/>
      </rPr>
      <t xml:space="preserve">Csatlakoztassa a hálózati tápkábelt a tápegységhez, majd a tápegység kimeneti csatlakozóját a készülékhez. Különösen ügyeljen a csatlakozófej belsejében található érzékeny tüskére; a csatlakozót óvatosan, merőlegesen illessze a helyére, hogy elkerülje a tüske elhajlását vagy törését.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t>
    </r>
    <r>
      <rPr>
        <b/>
        <sz val="11"/>
        <color theme="1"/>
        <rFont val="Calibri"/>
        <family val="2"/>
        <charset val="238"/>
        <scheme val="minor"/>
      </rPr>
      <t>Karbantartás:</t>
    </r>
    <r>
      <rPr>
        <sz val="11"/>
        <color theme="1"/>
        <rFont val="Calibri"/>
        <family val="2"/>
        <charset val="238"/>
        <scheme val="minor"/>
      </rPr>
      <t xml:space="preserve">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t>
    </r>
    <r>
      <rPr>
        <b/>
        <sz val="11"/>
        <color theme="1"/>
        <rFont val="Calibri"/>
        <family val="2"/>
        <charset val="238"/>
        <scheme val="minor"/>
      </rPr>
      <t>Csereperiódus – A páciens felelőssége:</t>
    </r>
    <r>
      <rPr>
        <sz val="11"/>
        <color theme="1"/>
        <rFont val="Calibri"/>
        <family val="2"/>
        <charset val="238"/>
        <scheme val="minor"/>
      </rPr>
      <t xml:space="preserve">
Bár a tápegységek nem rendelkeznek fix csereperiódussal, a biztonság érdekében évente javasolt a kábel és a csatlakozók alapos átvizsgálása.
    </t>
    </r>
    <r>
      <rPr>
        <b/>
        <sz val="11"/>
        <color theme="1"/>
        <rFont val="Calibri"/>
        <family val="2"/>
        <charset val="238"/>
        <scheme val="minor"/>
      </rPr>
      <t>» Mikor cserélje azonnal?</t>
    </r>
    <r>
      <rPr>
        <sz val="11"/>
        <color theme="1"/>
        <rFont val="Calibri"/>
        <family val="2"/>
        <charset val="238"/>
        <scheme val="minor"/>
      </rPr>
      <t xml:space="preserve"> Ha a kábel külső szigetelése megsérült, a csatlakozófej lötyög vagy elszíneződött, illetve ha a készülék tápellátása bizonytalanná válik (ki-be kapcsol). Sérült kábellel a készüléket használni életveszélyes és tilos!
</t>
    </r>
    <r>
      <rPr>
        <b/>
        <sz val="11"/>
        <color theme="1"/>
        <rFont val="Calibri"/>
        <family val="2"/>
        <charset val="238"/>
        <scheme val="minor"/>
      </rPr>
      <t>Kompatibilitás:</t>
    </r>
    <r>
      <rPr>
        <sz val="11"/>
        <color theme="1"/>
        <rFont val="Calibri"/>
        <family val="2"/>
        <charset val="238"/>
        <scheme val="minor"/>
      </rPr>
      <t xml:space="preserve">
Löwenstein SOMNObalance készülékhez.</t>
    </r>
  </si>
  <si>
    <t>Egyenáramú (DC) csatlakozókábel, amely lehetővé teszi a BiPAP Pro 2 készülék használatát 12V-os külső áramforrásról.</t>
  </si>
  <si>
    <r>
      <rPr>
        <b/>
        <sz val="11"/>
        <color theme="1"/>
        <rFont val="Calibri"/>
        <family val="2"/>
        <charset val="238"/>
        <scheme val="minor"/>
      </rPr>
      <t>Funkció:</t>
    </r>
    <r>
      <rPr>
        <sz val="11"/>
        <color theme="1"/>
        <rFont val="Calibri"/>
        <family val="2"/>
        <charset val="238"/>
        <scheme val="minor"/>
      </rPr>
      <t xml:space="preserve">
Ez a kábel lehetővé teszi a klasszikus Philips Respironics BiPAP Pro 2 készülékek működtetését külső akkumulátorról vagy járműszivargyújtóról. Feladata az egyszerű, közvetlen összeköttetés biztosítása a gép és az áramforrás között, támogatva a páciens mobilitását.
</t>
    </r>
    <r>
      <rPr>
        <b/>
        <sz val="11"/>
        <color theme="1"/>
        <rFont val="Calibri"/>
        <family val="2"/>
        <charset val="238"/>
        <scheme val="minor"/>
      </rPr>
      <t>Használat:</t>
    </r>
    <r>
      <rPr>
        <sz val="11"/>
        <color theme="1"/>
        <rFont val="Calibri"/>
        <family val="2"/>
        <charset val="238"/>
        <scheme val="minor"/>
      </rPr>
      <t xml:space="preserve">
Győződjön meg róla, hogy az áramforrás (pl. autó akkumulátora) feszültsége stabilan 12V. Csatlakoztassa a kábelt, ügyelve arra, hogy a csatlakozófej szorosan illeszkedik a gép hátulján lévő bemenethez.
</t>
    </r>
    <r>
      <rPr>
        <b/>
        <sz val="11"/>
        <color theme="1"/>
        <rFont val="Calibri"/>
        <family val="2"/>
        <charset val="238"/>
        <scheme val="minor"/>
      </rPr>
      <t>Kompatibilitás:</t>
    </r>
    <r>
      <rPr>
        <sz val="11"/>
        <color theme="1"/>
        <rFont val="Calibri"/>
        <family val="2"/>
        <charset val="238"/>
        <scheme val="minor"/>
      </rPr>
      <t xml:space="preserve">
Kizárólag a Philips Respironics BiPAP Pro 2 és kompatibilis M-sorozatú készülékekhez.</t>
    </r>
  </si>
  <si>
    <t>Speciális hálózati adapter az AS100A típusú terápiás készülékekhez. Stabil tápellátás és elektronikus védelem.</t>
  </si>
  <si>
    <r>
      <rPr>
        <b/>
        <sz val="11"/>
        <color theme="1"/>
        <rFont val="Calibri"/>
        <family val="2"/>
        <charset val="238"/>
        <scheme val="minor"/>
      </rPr>
      <t>Funkció:</t>
    </r>
    <r>
      <rPr>
        <sz val="11"/>
        <color theme="1"/>
        <rFont val="Calibri"/>
        <family val="2"/>
        <charset val="238"/>
        <scheme val="minor"/>
      </rPr>
      <t xml:space="preserve">
Az AS100A adapter feladata a készülék specifikus feszültség- és áramerősség-igényének kiszolgálása. Biztosítja a csendes és egyenletes motorfutást, elkerülve a feszültségingadozásból eredő újraindulásokat.
</t>
    </r>
    <r>
      <rPr>
        <b/>
        <sz val="11"/>
        <color theme="1"/>
        <rFont val="Calibri"/>
        <family val="2"/>
        <charset val="238"/>
        <scheme val="minor"/>
      </rPr>
      <t>Használat:</t>
    </r>
    <r>
      <rPr>
        <sz val="11"/>
        <color theme="1"/>
        <rFont val="Calibri"/>
        <family val="2"/>
        <charset val="238"/>
        <scheme val="minor"/>
      </rPr>
      <t xml:space="preserve">
Csatlakoztassa a hálózati tápkábelt a tápegységhez, majd a tápegység kimeneti csatlakozóját a készülékhez,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t>
    </r>
    <r>
      <rPr>
        <b/>
        <sz val="11"/>
        <color theme="1"/>
        <rFont val="Calibri"/>
        <family val="2"/>
        <charset val="238"/>
        <scheme val="minor"/>
      </rPr>
      <t>Karbantartás:</t>
    </r>
    <r>
      <rPr>
        <sz val="11"/>
        <color theme="1"/>
        <rFont val="Calibri"/>
        <family val="2"/>
        <charset val="238"/>
        <scheme val="minor"/>
      </rPr>
      <t xml:space="preserve">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t>
    </r>
    <r>
      <rPr>
        <b/>
        <sz val="11"/>
        <color theme="1"/>
        <rFont val="Calibri"/>
        <family val="2"/>
        <charset val="238"/>
        <scheme val="minor"/>
      </rPr>
      <t xml:space="preserve">Csereperiódus – A páciens felelőssége:
</t>
    </r>
    <r>
      <rPr>
        <sz val="11"/>
        <color theme="1"/>
        <rFont val="Calibri"/>
        <family val="2"/>
        <charset val="238"/>
        <scheme val="minor"/>
      </rPr>
      <t>Bár a tápegységek nem rendelkeznek fix csereperiódussal, a biztonság érdekében évente javasolt a kábel és a csatlakozók alapos átvizsgálása.
  </t>
    </r>
    <r>
      <rPr>
        <b/>
        <sz val="11"/>
        <color theme="1"/>
        <rFont val="Calibri"/>
        <family val="2"/>
        <charset val="238"/>
        <scheme val="minor"/>
      </rPr>
      <t>  » Mikor cserélje azonnal?</t>
    </r>
    <r>
      <rPr>
        <sz val="11"/>
        <color theme="1"/>
        <rFont val="Calibri"/>
        <family val="2"/>
        <charset val="238"/>
        <scheme val="minor"/>
      </rPr>
      <t xml:space="preserve"> Ha a kábel külső szigetelése megsérült, a csatlakozófej lötyög vagy elszíneződött, illetve ha a készülék tápellátása bizonytalanná válik (ki-be kapcsol). Sérült kábellel a készüléket használni életveszélyes és tilos!
</t>
    </r>
    <r>
      <rPr>
        <b/>
        <sz val="11"/>
        <color theme="1"/>
        <rFont val="Calibri"/>
        <family val="2"/>
        <charset val="238"/>
        <scheme val="minor"/>
      </rPr>
      <t xml:space="preserve">Kompatibilitás:
</t>
    </r>
    <r>
      <rPr>
        <sz val="11"/>
        <color theme="1"/>
        <rFont val="Calibri"/>
        <family val="2"/>
        <charset val="238"/>
        <scheme val="minor"/>
      </rPr>
      <t>Kizárólag AS100A készülékhez.</t>
    </r>
  </si>
  <si>
    <t>Természetes hatóanyagú (Ectoin®) orrspray, amely védi és hidratálja az orrnyálkahártyát. Kifejezetten javasolt CPAP terápiát alkalmazó pácienseknek.</t>
  </si>
  <si>
    <r>
      <rPr>
        <b/>
        <sz val="11"/>
        <color theme="1"/>
        <rFont val="Calibri"/>
        <family val="2"/>
        <charset val="238"/>
        <scheme val="minor"/>
      </rPr>
      <t>Funkció:</t>
    </r>
    <r>
      <rPr>
        <sz val="11"/>
        <color theme="1"/>
        <rFont val="Calibri"/>
        <family val="2"/>
        <charset val="238"/>
        <scheme val="minor"/>
      </rPr>
      <t xml:space="preserve">
A Reventil orrspray egy innovatív megoldás a CPAP terápia során gyakran jelentkező orrszárazság és orrdugulás enyhítésére. Feladata a gyulladt orrnyálkahártya regenerálása és egy védőréteg kialakítása, amely megköti a vizet, így hosszan tartó hidratálást biztosít. Segít megelőzni a sebek kialakulását és könnyebbé teszi a légzést a maszk használata közben, növelve a páciens komfortérzetét.
</t>
    </r>
    <r>
      <rPr>
        <b/>
        <sz val="11"/>
        <color theme="1"/>
        <rFont val="Calibri"/>
        <family val="2"/>
        <charset val="238"/>
        <scheme val="minor"/>
      </rPr>
      <t>Használat:</t>
    </r>
    <r>
      <rPr>
        <sz val="11"/>
        <color theme="1"/>
        <rFont val="Calibri"/>
        <family val="2"/>
        <charset val="238"/>
        <scheme val="minor"/>
      </rPr>
      <t xml:space="preserve">
Alkalmazza naponta 1-2 alkalommal (vagy orvosa utasítása szerint) mindkét orrnyílásba, lehetőleg a CPAP maszk felhelyezése előtt 15-20 perccel. A fújás után tartsa a fejét függőlegesen. Az orrspray tartósítószer-mentes, így hosszú távon is biztonságosan használható.
</t>
    </r>
    <r>
      <rPr>
        <b/>
        <sz val="11"/>
        <color theme="1"/>
        <rFont val="Calibri"/>
        <family val="2"/>
        <charset val="238"/>
        <scheme val="minor"/>
      </rPr>
      <t>Tisztítás:</t>
    </r>
    <r>
      <rPr>
        <sz val="11"/>
        <color theme="1"/>
        <rFont val="Calibri"/>
        <family val="2"/>
        <charset val="238"/>
        <scheme val="minor"/>
      </rPr>
      <t xml:space="preserve">
A higiénia megőrzése érdekében minden használat után törölje le a fúvókát egy tiszta, száraz papírzsebkendővel, majd helyezze vissza a védőkupakot. Az orrspray-t higiéniai okokból csak egy személy használhatja!
</t>
    </r>
    <r>
      <rPr>
        <b/>
        <sz val="11"/>
        <color theme="1"/>
        <rFont val="Calibri"/>
        <family val="2"/>
        <charset val="238"/>
        <scheme val="minor"/>
      </rPr>
      <t>Csereperiódus – A páciens felelőssége:</t>
    </r>
    <r>
      <rPr>
        <sz val="11"/>
        <color theme="1"/>
        <rFont val="Calibri"/>
        <family val="2"/>
        <charset val="238"/>
        <scheme val="minor"/>
      </rPr>
      <t xml:space="preserve">
A felbontott terméket a csomagoláson jelzett időn belül (általában 6 hónap) fel kell használni.
    </t>
    </r>
    <r>
      <rPr>
        <b/>
        <sz val="11"/>
        <color theme="1"/>
        <rFont val="Calibri"/>
        <family val="2"/>
        <charset val="238"/>
        <scheme val="minor"/>
      </rPr>
      <t>» Mikor cserélje korábban?</t>
    </r>
    <r>
      <rPr>
        <sz val="11"/>
        <color theme="1"/>
        <rFont val="Calibri"/>
        <family val="2"/>
        <charset val="238"/>
        <scheme val="minor"/>
      </rPr>
      <t xml:space="preserve"> Ne használja a terméket a lejárati időn túl, vagy ha a folyadék zavarossá válik.
</t>
    </r>
    <r>
      <rPr>
        <b/>
        <sz val="11"/>
        <color theme="1"/>
        <rFont val="Calibri"/>
        <family val="2"/>
        <charset val="238"/>
        <scheme val="minor"/>
      </rPr>
      <t>Kompatibilitás:</t>
    </r>
    <r>
      <rPr>
        <sz val="11"/>
        <color theme="1"/>
        <rFont val="Calibri"/>
        <family val="2"/>
        <charset val="238"/>
        <scheme val="minor"/>
      </rPr>
      <t xml:space="preserve">
Bármilyen típusú (orr- vagy arcmaszkos) CPAP/BiLevel terápia mellett alkalmazható.</t>
    </r>
  </si>
  <si>
    <r>
      <rPr>
        <b/>
        <sz val="11"/>
        <color theme="1"/>
        <rFont val="Calibri"/>
        <family val="2"/>
        <charset val="238"/>
        <scheme val="minor"/>
      </rPr>
      <t>Funkció:</t>
    </r>
    <r>
      <rPr>
        <sz val="11"/>
        <color theme="1"/>
        <rFont val="Calibri"/>
        <family val="2"/>
        <charset val="238"/>
        <scheme val="minor"/>
      </rPr>
      <t xml:space="preserve">
Az SD kártya a készülék „memóriája”. Feladata, hogy rögzítse az éjszakai terápia minden fontos paraméterét, amit a kezelőorvos egy speciális szoftver segítségével elemezni tud. Ez az adatsor elengedhetetlen a terápia hatékonyságának ellenőrzéséhez és a készülék beállításainak finomhangolásához.
</t>
    </r>
    <r>
      <rPr>
        <b/>
        <sz val="11"/>
        <color theme="1"/>
        <rFont val="Calibri"/>
        <family val="2"/>
        <charset val="238"/>
        <scheme val="minor"/>
      </rPr>
      <t>Használat:</t>
    </r>
    <r>
      <rPr>
        <sz val="11"/>
        <color theme="1"/>
        <rFont val="Calibri"/>
        <family val="2"/>
        <charset val="238"/>
        <scheme val="minor"/>
      </rPr>
      <t xml:space="preserve">
A kártyát kikapcsolt állapotban helyezze a készülék erre kijelölt nyílásába. Ügyeljen rá, hogy a kártya merőlegesen és akadálymentesen illeszkedik a foglalatba (ne erőltesse!). A kártyát csak akkor vegye ki, ha az orvosi kontrollra viszi az adatokat.
</t>
    </r>
    <r>
      <rPr>
        <b/>
        <sz val="11"/>
        <color theme="1"/>
        <rFont val="Calibri"/>
        <family val="2"/>
        <charset val="238"/>
        <scheme val="minor"/>
      </rPr>
      <t>Tisztítás:</t>
    </r>
    <r>
      <rPr>
        <sz val="11"/>
        <color theme="1"/>
        <rFont val="Calibri"/>
        <family val="2"/>
        <charset val="238"/>
        <scheme val="minor"/>
      </rPr>
      <t xml:space="preserve">
Az SD kártyát vízzel vagy tisztítószerrel érinteni szigorúan tilos! Ha poros, száraz, antisztatikus kendővel törölje le. Ügyeljen rá, hogy a fém érintkezőkhöz ne érjen kézzel, és tartsa távol erős mágneses terektől.
</t>
    </r>
    <r>
      <rPr>
        <b/>
        <sz val="11"/>
        <color theme="1"/>
        <rFont val="Calibri"/>
        <family val="2"/>
        <charset val="238"/>
        <scheme val="minor"/>
      </rPr>
      <t xml:space="preserve">Csereperiódus – A páciens felelőssége:
</t>
    </r>
    <r>
      <rPr>
        <sz val="11"/>
        <color theme="1"/>
        <rFont val="Calibri"/>
        <family val="2"/>
        <charset val="238"/>
        <scheme val="minor"/>
      </rPr>
      <t>A kártyát nem kell rutinszerűen cserélni, de a fizikai épségéért a páciens felel.
    </t>
    </r>
    <r>
      <rPr>
        <b/>
        <sz val="11"/>
        <color theme="1"/>
        <rFont val="Calibri"/>
        <family val="2"/>
        <charset val="238"/>
        <scheme val="minor"/>
      </rPr>
      <t>» Mikor cserélje?</t>
    </r>
    <r>
      <rPr>
        <sz val="11"/>
        <color theme="1"/>
        <rFont val="Calibri"/>
        <family val="2"/>
        <charset val="238"/>
        <scheme val="minor"/>
      </rPr>
      <t xml:space="preserve"> Ha a kártya fizikailag megrepedt. Amennyiben a készülék „Kártyahiba” üzenetet küld, vagy a szakorvos nem tudta beolvasni az adatokat, vegye fel a kapcsolatot a Szaküzlettel, a készülék szervizes átvizsgáltatása céljából.
</t>
    </r>
    <r>
      <rPr>
        <b/>
        <sz val="11"/>
        <color theme="1"/>
        <rFont val="Calibri"/>
        <family val="2"/>
        <charset val="238"/>
        <scheme val="minor"/>
      </rPr>
      <t>Kompatibilitás:</t>
    </r>
    <r>
      <rPr>
        <sz val="11"/>
        <color theme="1"/>
        <rFont val="Calibri"/>
        <family val="2"/>
        <charset val="238"/>
        <scheme val="minor"/>
      </rPr>
      <t xml:space="preserve">
Löwenstein készülékekhez.</t>
    </r>
  </si>
  <si>
    <t>Speciálisan konfigurált adathordozó a terápiás adatok (használati idő, AHI, nyomásértékek) rögzítésére.</t>
  </si>
  <si>
    <t xml:space="preserve">Speciálisan konfigurált adathordozó a terápiás adatok (használati idő, AHI, nyomásértékek) rögzítésére. </t>
  </si>
  <si>
    <t>Tartalék navigációs gomb a Philips Respironics készülékek menürendszerének kezeléséhez.</t>
  </si>
  <si>
    <r>
      <rPr>
        <b/>
        <sz val="11"/>
        <color theme="1"/>
        <rFont val="Calibri"/>
        <family val="2"/>
        <charset val="238"/>
        <scheme val="minor"/>
      </rPr>
      <t>Funkció:</t>
    </r>
    <r>
      <rPr>
        <sz val="11"/>
        <color theme="1"/>
        <rFont val="Calibri"/>
        <family val="2"/>
        <charset val="238"/>
        <scheme val="minor"/>
      </rPr>
      <t xml:space="preserve">
Ez a mechanikus kezelőgomb a készülék vezérlésének központi eleme. Feladata a menüpontok közötti navigáció és a beállítások jóváhagyása (tekerés és benyomás). Segítségével a páciens könnyedén ellenőrizheti a napi adatokat vagy módosíthatja a kényelmi funkciókat (pl. párásítás intenzitása).
</t>
    </r>
    <r>
      <rPr>
        <b/>
        <sz val="11"/>
        <color theme="1"/>
        <rFont val="Calibri"/>
        <family val="2"/>
        <charset val="238"/>
        <scheme val="minor"/>
      </rPr>
      <t>Használat:</t>
    </r>
    <r>
      <rPr>
        <sz val="11"/>
        <color theme="1"/>
        <rFont val="Calibri"/>
        <family val="2"/>
        <charset val="238"/>
        <scheme val="minor"/>
      </rPr>
      <t xml:space="preserve">
Helyezze a gombot a készülék előlapján található tengelyre, és óvatosan nyomja a helyére, amíg stabilan nem illeszkedik. A kezelés során kerülje a túlzott erőkifejtést, a gombnak könnyedén, akadásmentesen kell forognia. Ellenkező esetben inkább kérje a Szaküzlet és a szerviz segítségét.
</t>
    </r>
    <r>
      <rPr>
        <b/>
        <sz val="11"/>
        <color theme="1"/>
        <rFont val="Calibri"/>
        <family val="2"/>
        <charset val="238"/>
        <scheme val="minor"/>
      </rPr>
      <t>Kompatibilitás:</t>
    </r>
    <r>
      <rPr>
        <sz val="11"/>
        <color theme="1"/>
        <rFont val="Calibri"/>
        <family val="2"/>
        <charset val="238"/>
        <scheme val="minor"/>
      </rPr>
      <t xml:space="preserve">
Régebbi Philips Respironics (pl. System One, Remstar M-Series) típusú készülékekhez.</t>
    </r>
  </si>
  <si>
    <t>LMT 31785; LMT 31920-1110; WM 27420/s</t>
  </si>
  <si>
    <t>prisma fehér/fekete, somnobalance</t>
  </si>
  <si>
    <t>Speciális orvostechnikai eszköz a horkolás és az enyhe alvási apnoe kezelésére. A termék forgalmazása jelenleg szünetel, alternatív megoldások keresése folyamatban van.</t>
  </si>
  <si>
    <t>4.4.1.</t>
  </si>
  <si>
    <t>4.4.</t>
  </si>
  <si>
    <t>4.4.2.</t>
  </si>
  <si>
    <t>4.4.3.</t>
  </si>
  <si>
    <t>4.4.4.</t>
  </si>
  <si>
    <t>4.6.</t>
  </si>
  <si>
    <t>4.5.</t>
  </si>
  <si>
    <t>4.7.</t>
  </si>
  <si>
    <t>4.8.</t>
  </si>
  <si>
    <t>A pihentető alvás nem csupán kényelem, hanem az egészség alapköve. Fedezze fel halk és intelligens készülékeinket, melyek észrevétlenül vigyázzák légzését az éjszaka folyamán.</t>
  </si>
  <si>
    <t>Megbízható, egyenletes nyomást biztosító készülékek az alvási apnoe hatékony kezelésére. Találja meg az Önnek legmegfelelőbb partnert a nyugodt éjszakákhoz.</t>
  </si>
  <si>
    <t>Speciális, kétnyomású terápiát nyújtó professzionális eszközök a könnyebb kilégzésért és a maximális kényelemért.</t>
  </si>
  <si>
    <t>Korábbi modelljeink információs tára. Segítünk, hogy régebbi gépéhez is megtalálja a megfelelő kiegészítőt vagy a modern utódot.</t>
  </si>
  <si>
    <t>Búcsúzzon el a reggeli torokszárazságtól! Párásítóink optimális nedvességet biztosítanak a belélegzett levegőnek, így télen is irritációmentes marad a légzése.</t>
  </si>
  <si>
    <t>A maszk a terápia legszemélyesebb része: ha jól választ, szinte elfelejti, hogy viseli. Kínálatunkban a világ vezető gyártóinak legkényelmesebb modelljeit találja.</t>
  </si>
  <si>
    <t>Diszkrét kialakítás és szabad látómező. Ideális választás azoknak, akik zárt szájjal alszanak és fontos számukra a könnyedség.</t>
  </si>
  <si>
    <t>Maximális biztonság és szivárgásmentes tartás. Megoldást nyújtanak azoknak is, akik alvás közben a szájukon át (is) lélegeznek.</t>
  </si>
  <si>
    <t>Archívum korábbi kedvenc modelljeinkhez. Ismerje meg az új generációs alternatívákat a zavartalan folytatáshoz.</t>
  </si>
  <si>
    <t>Frissítse fel felszerelését és őrizze meg készüléke gyári állapotát! Az időben cserélt alkatrészekkel a terápiája mindig olyan lesz, mint az első napon.</t>
  </si>
  <si>
    <t>A tiszta levegő a tüdő és a készülék motorjának védelme. Ne feledje: a rendszeresen cserélt szűrő a gép hosszú élettartamának záloga.</t>
  </si>
  <si>
    <t>Frissítse fel maszkját egy új szilikonnal! Egy új párna mindig jobban illeszkedik, megszünteti a szivárgást és a bőr irritációját.</t>
  </si>
  <si>
    <t>Ha a pánt kinyúlik, a maszk elmozdul. Tartalék pántjainkkal újra stabil és kényelmes lesz a rögzítés.</t>
  </si>
  <si>
    <t>Vázak, vázborítások és kilégző adapterek. Minden apróság, ami a maszkrendszer teljes körű felújításához kellhet.</t>
  </si>
  <si>
    <t>Standard, vékonyított vagy fűthető csövek a mozgás szabadságáért. [Tipp: Nézze meg kényelmi csőhuzatainkat is!]</t>
  </si>
  <si>
    <t>Pótolja elöregedett víztartályát vagy tömítéseit, hogy a párásítás mindig higiénikus és szivárgásmentes maradjon.</t>
  </si>
  <si>
    <t>Legyen mobil! Hálózati egységek és autós adapterek, hogy a terápia nyaralás vagy utazás közben se szakadjon meg.</t>
  </si>
  <si>
    <t>SD kártyák az adatok rögzítéséhez, kényelmi szoftverek és praktikus apróságok az Ön nyugalmáért.</t>
  </si>
  <si>
    <t>Hangolja újra belső óráját! A természetes fény erejével segítünk leküzdeni a fáradtságot és visszaállítani az egészséges alvás-ébrenlét ciklust.</t>
  </si>
  <si>
    <t>Tudás, ami pihentet. Hasznos szakmai anyagok és érthető betegtájékoztatók, hogy Ön magabiztosan kezelhesse alvásterápiás eszközeit.</t>
  </si>
  <si>
    <t>Csendesebb éjszakák, kényelmes megoldások.
Jelenleg új, magas minőségi követelményeinknek megfelelő beszállító partnert keresünk, hogy újra elérhetővé tegyük kínálatunkban a mandibuláris szájbetéteket. Szeretne értesülni az új termékek érkezéséről? Kattintson ide, és jelezze érdeklődését ügyfélszolgálatunkon, hogy elsők között tájékoztathassuk!</t>
  </si>
  <si>
    <t>Hogyan működik a horkolásgátló szájbetét?
A mandibuláris előrehelyező eszköz (szájbetét) egy kényelmes, éjszaka viselhető segédeszköz, amely az alsó állkapocs gyengéd stabilizálásával tágítja a felső légutakat. Feladata, hogy megakadályozza a lágyszövetek elzáródását és vibrációját, így szüntetve meg a horkolást és segítve a zavartalan levegővételt.
Miért szünetel a forgalmazás?
Számunkra a pácienseink biztonsága és kényelme az elsődleges. Csak olyan eszközt szeretnénk kínálni, amely pontosan illeszkedik, tartós, és hosszú távon is kényelmes viseletet biztosít. Jelenleg több nemzetközi gyártó termékét is teszteljük, hogy megtaláljuk azt az alternatívát, amely ár-érték arányban és szakmai megbízhatóságban is a legjobb választás Önnek.
Tanácsunk a várakozási időre
Bár a szájbetét kiváló megoldás az egyszerű horkolásra, fontos tudni, hogy a horkolás hátterében esetenként komolyabb légzészavar is állhat.
Konzultáljon szakértővel: Ha horkolása mellett nappali fáradtságot is tapasztal, javasoljuk, hogy keressen fel egy alvásszakértőt.
Ismerje meg a lehetőségeit: Bár sokan tartanak tőle, érdemes tudni, hogy a modern alvásterápia „arany standardja” továbbra is a CPAP terápia, amely súlyosabb esetekben a leghatékonyabb orvosi megoldás.
Amint van fejlemény az új szájbetétek érkezésével kapcsolatban, azonnal tájékoztatjuk látogatóinkat. Köszönjük türelmét és bizalmát!</t>
  </si>
  <si>
    <t>Extra védelem a legkisebb szennyeződések ellen is. Ezek a nagy hatékonyságú szűrők közvetlenül a levegőkimenetnél fogják meg a baktériumokat és vírusokat, garantálva a maximális higiéniát.</t>
  </si>
  <si>
    <t>Német precizitáshoz méltó védelem. Válogasson a durva porszűrők és az extra finom pollenszűrők között, hogy készüléke motorja és az Ön tüdeje is hosszú távon tiszta maradjon.</t>
  </si>
  <si>
    <t>Eredeti Philips pollenszűrők és ultra-finom szűrők a DreamStation és Remstar készülékekhez. A rendszeres csere elengedhetetlen a gép halk működéséhez és a levegő tisztaságához.</t>
  </si>
  <si>
    <t>Speciálisan az AeonMed AS100 készülékekhez tervezett szűrők, melyek biztosítják a gép optimális légáramlását és védelmét.</t>
  </si>
  <si>
    <t>Pótolja elhasználódott szilikon vagy gél párnáját, hogy orrmaszkja újra tökéletesen illeszkedjen! Az új párna megszünteti a kellemetlen szivárgást és kényelmesebb felfekvést biztosít.</t>
  </si>
  <si>
    <t>A tiszta és ép arcmaszk-párna a szivárgásmentes terápia alapja, különösen magasabb nyomásértékek mellett. Frissítse fel maszkját a gyári kényelemért!</t>
  </si>
  <si>
    <t>Szüntesse meg a bőrpírt és a nyomáspontokat a homlokán. Puha tartalék szilikonjaink gondoskodnak a maszkváz stabil, mégis gyengéd alátámasztásáról.</t>
  </si>
  <si>
    <t>Ha a pánt kinyúlt vagy már nem tartanak a tépőzárak, a maszk elmozdulhat. Eredeti tartalék pántjainkkal újra stabil és észrevétlen marad az orrmaszk rögzítése.</t>
  </si>
  <si>
    <t>Erős és rugalmas tartás a nagyobb felületű maszkokhoz. Válassza ki az arcmaszkjához megfelelő fejpántot a stabil éjszakai kényelemért.</t>
  </si>
  <si>
    <t>A maszkrendszer „gerince”. Ha a váz megrepedt vagy sérült, néhány maszktípusnál nem kell az egész maszkot kidobnia – cserélje csak a vázat, és spóroljon a költségeken!</t>
  </si>
  <si>
    <t>Extra komfort az arcbőrnek bizonyos típusú maszkokhoz. A puha textil borítások megakadályozzák a szilikon váz közvetlen érintkezését a bőrrel, megelőzve az izzadást és az irritációt.</t>
  </si>
  <si>
    <t>Speciális könyökidomok és adapterek a halk üzemmódért és a szén-dioxid hatékony kiürítéséért. Tartsa karban maszkja „kipufogóját” a zavartalan alvásért.</t>
  </si>
  <si>
    <t>KATEGÓRIA</t>
  </si>
  <si>
    <t>#</t>
  </si>
  <si>
    <r>
      <t xml:space="preserve">A Philips </t>
    </r>
    <r>
      <rPr>
        <b/>
        <sz val="11"/>
        <color theme="1"/>
        <rFont val="Calibri"/>
        <family val="2"/>
        <charset val="238"/>
        <scheme val="minor"/>
      </rPr>
      <t>DreamStation 2</t>
    </r>
    <r>
      <rPr>
        <sz val="11"/>
        <color theme="1"/>
        <rFont val="Calibri"/>
        <family val="2"/>
        <charset val="238"/>
        <scheme val="minor"/>
      </rPr>
      <t xml:space="preserve"> az intelligens alvásterápia legújabb generációja, amely kompakt méretben nyújt maximális kényelmet. Működési elve az automatikus nyomásszabályozáson alapul: a készülék minden egyes légvételt elemez, és azonnal korrigálja a nyomást a légutak nyitvatartása érdekében, így biztosítva a pihentető alvást. A színes érintőképernyő és az integrált, fűthető párásító rendkívül egyszerűvé teszi a mindennapi használatot. Egyedülálló módon beépített modem és Bluetooth segítségével az adatok automatikusan szinkronizálódnak a felhőbe, így a terápiás információk SD-kártya nélkül is biztonságosan elérhetőek maradnak. A készülék minden reggel visszajelzést ad a maszk illeszkedéséről és a terápia hatékonyságáról, segítve Önt a magabiztos használatban. </t>
    </r>
    <r>
      <rPr>
        <b/>
        <sz val="11"/>
        <color theme="1"/>
        <rFont val="Calibri"/>
        <family val="2"/>
        <charset val="238"/>
        <scheme val="minor"/>
      </rPr>
      <t>Fontos információ:</t>
    </r>
    <r>
      <rPr>
        <sz val="11"/>
        <color theme="1"/>
        <rFont val="Calibri"/>
        <family val="2"/>
        <charset val="238"/>
        <scheme val="minor"/>
      </rPr>
      <t xml:space="preserve"> A készülék használatához terápiás maszk szükséges, amely külön tétel. Szabványos csatlakozója révén kínálatunk bármelyik maszkjával kompatibilis.</t>
    </r>
  </si>
  <si>
    <t>Főtermék Neve (Ezt az Excel fogja kitölteni!)</t>
  </si>
  <si>
    <t>Főtermék Cikkszáma (Pl. a maszké)</t>
  </si>
  <si>
    <t>Kiegészítő Cikkszáma (Pl. a pánté)</t>
  </si>
  <si>
    <t>Gyűjtő kategória neve (Pl. „DreamStation kiegészítők”)</t>
  </si>
  <si>
    <t>Kiegészítő Neve (Ezt az Excel fogja kitölteni!)</t>
  </si>
  <si>
    <t>1147018-01</t>
  </si>
  <si>
    <t>Prisma fekete kiegészítők</t>
  </si>
  <si>
    <t>Prisma fehér kiegészítők</t>
  </si>
  <si>
    <t>WM 29928; WM 29652; 1147018-01; WM 29680; WM 24445; G100; WM 24469; WM 31615; WM 29794</t>
  </si>
  <si>
    <t>Extra kategória</t>
  </si>
  <si>
    <t>Prisma fekete kiegészítők; Prisma fehér kiegészítők</t>
  </si>
  <si>
    <t>1122446</t>
  </si>
  <si>
    <t>1122519</t>
  </si>
  <si>
    <t>Dreamstation1 kiegészítők</t>
  </si>
  <si>
    <t>Dreamstation1 kiegészítők, Dreamstation2 kiegészítők</t>
  </si>
  <si>
    <t>Aeonmed kiegészítők</t>
  </si>
  <si>
    <t>Somnobalance kiegészítők</t>
  </si>
  <si>
    <t>Prisma fekete kiegészítők; Prisma fehér kiegészítők; Dreamstation1 kiegészítők; Dreamstation2 kiegészítők; Somnobalance kiegészítők</t>
  </si>
  <si>
    <t>Prisma fekete kiegészítők; Prisma fehér kiegészítők; Somnobalance kiegészítők</t>
  </si>
  <si>
    <t>Prisma fekete kiegészítők; Prisma fehér kiegészítők, Somnobalance kiegészítők</t>
  </si>
  <si>
    <t>Régebbi Philips modellek tartozékai</t>
  </si>
  <si>
    <t>Dreamwear orrillesztékes maszk (SP)</t>
  </si>
  <si>
    <t>DREAMWEAR-SP-ORRMASZK</t>
  </si>
  <si>
    <t>Dreamwear kiegészítők</t>
  </si>
  <si>
    <t>Wisp fejpánt S</t>
  </si>
  <si>
    <t>Wisp kiegészítők</t>
  </si>
  <si>
    <t>Pico kiegészítők</t>
  </si>
  <si>
    <t>Figyelmeztető kiegészítés</t>
  </si>
  <si>
    <t>MASZKPÁRNA NUANCE</t>
  </si>
  <si>
    <t>MASZKPÁRNA PICO</t>
  </si>
  <si>
    <t>MASZKPÁRNA WISP</t>
  </si>
  <si>
    <t>MASZKPÁRNA NASAL DREAMWEAR</t>
  </si>
  <si>
    <t>MASZKPÁRNA SP DREAMWEAR</t>
  </si>
  <si>
    <t>Nuance Pro kiegészítők</t>
  </si>
  <si>
    <t>WM 25580</t>
  </si>
  <si>
    <t>Cara orrmaszk kiegészítők</t>
  </si>
  <si>
    <t xml:space="preserve">Teljes ár </t>
  </si>
  <si>
    <t>Méretezett</t>
  </si>
  <si>
    <t>Fitpack</t>
  </si>
  <si>
    <t>Joyce Easy kiegészítők</t>
  </si>
  <si>
    <t>Joyce ONE kiegészítők</t>
  </si>
  <si>
    <t>LMT 26636</t>
  </si>
  <si>
    <t>LMT 26637</t>
  </si>
  <si>
    <t>LMT 26638</t>
  </si>
  <si>
    <t>LMT 17823</t>
  </si>
  <si>
    <t>VÁZBORÍTÁS JULIA</t>
  </si>
  <si>
    <t>Julia vázborítás</t>
  </si>
  <si>
    <t>Julia kiegészítők</t>
  </si>
  <si>
    <t>MASZKPÁRNA JOYCEONE</t>
  </si>
  <si>
    <t>MASZKPÁRNA JULIA</t>
  </si>
  <si>
    <t>Julia maszkpárna S</t>
  </si>
  <si>
    <t>Julia maszkpárna M</t>
  </si>
  <si>
    <t>Julia maszkpárna L</t>
  </si>
  <si>
    <t>DreamStation párásító vízkamra</t>
  </si>
  <si>
    <t>VÍZKAMRA DREAMSTATION</t>
  </si>
  <si>
    <t>PÁRÁSÍTÓ TARTOZÉK SOMNOAQUA</t>
  </si>
  <si>
    <t>PÁRÁSÍTÓ GUMI SOMNOAQUA</t>
  </si>
  <si>
    <t>Prisma Aqua kiegészítők</t>
  </si>
  <si>
    <t>SOMNOaqua kiegészítők</t>
  </si>
  <si>
    <t>Cara FullFace kiegészítők</t>
  </si>
  <si>
    <t>Joyce Easy FullFace kiegészítők</t>
  </si>
  <si>
    <t>WM 25293</t>
  </si>
  <si>
    <t>Joyce Easy NEXT FullFace kiegészítők</t>
  </si>
  <si>
    <t>Joyce ONE FullFace kiegészítők</t>
  </si>
  <si>
    <t>LMT 26461</t>
  </si>
  <si>
    <t>LMT 26462</t>
  </si>
  <si>
    <t>LMT 26463</t>
  </si>
  <si>
    <t>LMT 26464</t>
  </si>
  <si>
    <t>LMT 26465</t>
  </si>
  <si>
    <t>LMT 26466</t>
  </si>
  <si>
    <t>LMT 26467</t>
  </si>
  <si>
    <t>LMT 26468</t>
  </si>
  <si>
    <t>LMT 26469</t>
  </si>
  <si>
    <t>LMT 26471</t>
  </si>
  <si>
    <t>Lena FullFace kiegészítők</t>
  </si>
  <si>
    <t>Amara View kiegészítők</t>
  </si>
  <si>
    <t>DreamWear FullFace kiegészítők</t>
  </si>
  <si>
    <t>Amara és Amara Gel FullFace kiegészítők</t>
  </si>
  <si>
    <t>Moduláris</t>
  </si>
  <si>
    <t>Egyedi tipp szöveg az összes kiegészítőre (az adott főtermék hosszú leírásának végére másold be, csináld meg a linket!)</t>
  </si>
  <si>
    <t>Prisma kiegészítők</t>
  </si>
  <si>
    <t>Tippünk: A DreamStation (1. széria) optimális működéséhez és a higiénikus terápiához javasoljuk a szűrők rendszeres cseréjét és a tartozékok karbantartását. Az összes kompatibilis kiegészítőt (szűrők, gégecsövek, párásító alkatrészek) megtalálja a [DreamStation 1 kiegészítők] oldalunkon!</t>
  </si>
  <si>
    <t>Dreamstation szivargyújtós?</t>
  </si>
  <si>
    <t>Dreamstation 80W táp</t>
  </si>
  <si>
    <t>1 csomag=6db</t>
  </si>
  <si>
    <t>1 csomag=1db</t>
  </si>
  <si>
    <t>Tápegységek</t>
  </si>
  <si>
    <t>REMSTAR TÁPEGYSÉG</t>
  </si>
  <si>
    <t>Remstar tápegység</t>
  </si>
  <si>
    <t>WM 1145/15</t>
  </si>
  <si>
    <t>PÁRÁSODÁS MENTESÍTŐ</t>
  </si>
  <si>
    <t>WM 27589</t>
  </si>
  <si>
    <t>Wilasilent párásodás-mentesítő</t>
  </si>
  <si>
    <t>OXIGÉN ADAPTER</t>
  </si>
  <si>
    <t>DAL1340002018</t>
  </si>
  <si>
    <t>Remstar szivargyújtós tápegység</t>
  </si>
  <si>
    <t>REMSTAR SZIVARGYÚJTÓS</t>
  </si>
  <si>
    <t>Dreamstation 2 kiegészítők</t>
  </si>
  <si>
    <t>Tippünk: A DreamStation 2 készülék technológiájának megőrzéséhez és a biztonságos használathoz elengedhetetlen a tartozékok rendszeres frissítése. Fontos: A 2. széria szűrői eltérnek az elődmodellétől! Minden kompatibilis alkatrészt megtalál a [DreamStation 2 kiegészítők] gyűjtőoldalunkon.</t>
  </si>
  <si>
    <t>Tippünk: Készülékéhez a rendszeres karbantartáshoz szükséges összes tartozékot (szűrők, gégecsövek, tápegységek) megtalálja a [Prisma kiegészítők] gyűjtőoldalunkon. Gondoskodjon időben a fogyóeszközök cseréjéről a higiénikus és hatékony terápia érdekében!</t>
  </si>
  <si>
    <t>Tippünk: Készülékéhez a rendszeres karbantartáshoz szükséges összes tartozékot (szűrők, gégecsövek, hordtáskák, tápegységek) megtalálja a [Prisma kiegészítők] gyűjtőoldalunkon. Gondoskodjon időben a fogyóeszközök cseréjéről a higiénikus és hatékony terápia érdekében!</t>
  </si>
  <si>
    <t>Tippünk: Bár a Somnobalance készülék forgalmazása már megszűnt, a zavartalan használathoz szükséges gyári kiegészítőket továbbra is biztosítjuk. Az összes kompatibilis szűrőt, tartályt és egyéb alkatrészt megtalálja a [Somnobalance kiegészítők] oldalunkon!</t>
  </si>
  <si>
    <t>Tippünk: Az Aeonmed készülékek megbízható működéséhez és a higiénikus terápiához javasoljuk a szűrők rendszeres cseréjét és a tartozékok karbantartását. Az összes kompatibilis kiegészítőt  megtalálja az [Aeonmed kiegészítők] oldalunkon!</t>
  </si>
  <si>
    <t>Tippünk: Bár a Remstar készülék forgalmazása már megszűnt, a higiénikus és biztonságos használathoz szükséges alapvető tartozékokat (szűrők, gégecsövek) továbbra is biztosítjuk. Az összes kompatibilis alkatrészt megtalálja a [Remstar kiegészítők] oldalunkon!</t>
  </si>
  <si>
    <t xml:space="preserve">Tippünk: A PrismaAqua párásító zavartalan működéséhez szükséges gyári kiegészítőket és pótalkatrészeket (pl. vízkamra, tömítőgyűrű) megtalálja a [Prisma Aqua kiegészítők] gyűjtőoldalunkon. </t>
  </si>
  <si>
    <t>Tippünk: Bár a SomnoAqua párásítóhoz tartozó alapgép forgalmazása már megszűnt, a párásító használatához szükséges alapvető kiegészítőket továbbra is biztosítjuk. Az összes kompatibilis alkatrészt megtalálja a [Somno Aqua kiegészítők] oldalunkon.</t>
  </si>
  <si>
    <t>Tippünk: Ennek a maszknak az összes kiegészítőjét a [Cara kiegészítők] oldalon találja. Fontos: Cserealkatrészként a jelenleg használt szilikonon látható mérettel megegyező orrpárnát válasszon, mert csak ez lesz kompatibilis a jelenlegi maszkvázával!</t>
  </si>
  <si>
    <t>Tippünk: Ennek a maszknak az összes kiegészítőjét a [Joyce Easy kiegészítők] oldalon találja. Fontos: Cserealkatrészként a jelenleg használt szilikonon látható mérettel megegyező orrpárnát válasszon, mert csak ez lesz kompatibilis a jelenlegi maszkvázával!</t>
  </si>
  <si>
    <t>Tippünk: Ennek a maszknak az összes kiegészítőjét a [Joyce ONE kiegészítők] oldalon találja. Mivel ez egy egyméretes modell, a hozzá tartozó maszkpárna univerzális méretű.</t>
  </si>
  <si>
    <t>Tippünk: Ennek a maszknak az összes kiegészítőjét a [Julia kiegészítők] oldalon találja. Fontos: Cserealkatrészként a jelenleg használt szilikonon látható mérettel megegyező orrpárnát válasszon, mert csak ez lesz kompatibilis a jelenlegi maszkvázával!</t>
  </si>
  <si>
    <t>Tippünk: Ebben a Fitpack csomagban minden méretű orrpárnát megtalál. Fontos, hogy a Dreamwear vázhoz az orr alatti (nasal) és az orrillesztékes (silicone pillows) orrpárna is illeszkedik, így később szabadon válthat köztük. A már bevált alkatrészeket külön is utánrendelheti a [Dreamwear kiegészítők] oldalunkon!</t>
  </si>
  <si>
    <t>Tippünk: Ebben a Fitpack csomagban minden méretű orrpárnát megtalál. Ha később pótolni szeretné a már bevált méretű szilikont, vagy egyéb kiegészítőt (pl. fejpántot, maszkvázat) keres, kattintson a [Nuance Pro kiegészítők] oldalunkra!</t>
  </si>
  <si>
    <t>Tippünk: Ennek a maszknak az összes kiegészítőjét a [Pico kiegészítők] oldalon találja. Fontos: Cserealkatrészként a jelenleg használt szilikonon látható mérettel megegyező orrpárnát válasszon, mert csak ez lesz kompatibilis a jelenlegi maszkvázával!</t>
  </si>
  <si>
    <t>Tippünk: Ebben a Fitpack csomagban minden méretű orrpárnát megtalál. Ha később pótolni szeretné a már bevált méretű szilikont, vagy egyéb kiegészítőt (pl. fejpántot, maszkvázat) keres, kattintson a [Wisp kiegészítők] oldalunkra!</t>
  </si>
  <si>
    <t>Tippünk: Ennek a maszknak az összes kiegészítőjét a [Cara FullFace kiegészítők] oldalon találja. Fontos: Cserealkatrészként a jelenleg használt szilikonon látható mérettel megegyező párnát válasszon, mert csak ez lesz kompatibilis a vázával!</t>
  </si>
  <si>
    <t>Tippünk: Ennek a maszknak az összes kiegészítőjét a [Joyce Easy FullFace kiegészítők] oldalon találja. Fontos: Cserealkatrészként a jelenleg használt szilikonon látható mérettel megegyező párnát válasszon, mert csak ez lesz kompatibilis a vázával!</t>
  </si>
  <si>
    <t>Tippünk: Ennek a maszknak az összes kiegészítőjét a [Joyce Easy NEXT FullFace kiegészítők] oldalon találja. Fontos: Cserealkatrészként a jelenleg használt szilikonon látható mérettel megegyező párnát válasszon, mert csak ez lesz kompatibilis a vázával!</t>
  </si>
  <si>
    <t>Tippünk: Ehhez az univerzális méretezésű maszkhoz minden kiegészítőt megtalál a [Joyce ONE FullFace kiegészítők] oldalunkon. Mivel a maszk egyetlen „One Size” méretben készül, a pótszilikon rendelésekor nem kell a méretválasztással foglalkoznia.</t>
  </si>
  <si>
    <t>Tippünk: Ennek a maszknak az összes kiegészítőjét a [Lena kiegészítők] oldalon találja. Fontos: Cserealkatrészként a jelenleg használt szilikonon látható mérettel megegyező párnát válasszon, mert csak ez lesz kompatibilis a vázával!</t>
  </si>
  <si>
    <t>Tippünk: Ennek a maszknak az összes kiegészítőjét a [Amara és Amara Gel kiegészítők] oldalon találja. Az Amara és Amara Gel maszkváz közös, így szabadon választhat a szilikon vagy gél párnák közül. Fontos: cserealkatrészként a jelenlegi szilikonján látható mérettel megegyező párnát válasszon!</t>
  </si>
  <si>
    <t>Tippünk: Az Amara View kiegészítőit az [Amara View kiegészítők] oldalon találja. Fontos: Ez a típus nem kompatibilis a többi Amara maszk alkatrészeivel! Cserealkatrészként a jelenleg használt szilikonon látható mérettel megegyező párnát válasszon.</t>
  </si>
  <si>
    <t>Prisma kiegészítők;Dreamstation1 kiegészítők;Dreamstation2 kiegészítők;Somnobalance kiegészítők;Régebbi Philips modellek tartozékai</t>
  </si>
  <si>
    <t>Prisma fekete kiegészítők;Prisma fehér kiegészítők;Somnobalance kiegészítők</t>
  </si>
  <si>
    <t>Prisma fekete kiegészítők;Prisma fehér kiegészítők;Dreamstation1 kiegészítők;Dreamstation2 kiegészítők;Somnobalance kiegészítők;Régebbi Philips modellek tartozékai</t>
  </si>
  <si>
    <t>Prisma kiegészítők;Somnobalance kiegészítők</t>
  </si>
  <si>
    <t>Prisma kiegészítők;Dreamstation1 kiegészítők;Dreamstation2 kiegészítők;Somnobalance kiegészítők</t>
  </si>
  <si>
    <t>Dreamstation1 kiegészítők;Dreamstation2 kiegészítők</t>
  </si>
  <si>
    <t>Dreamstation2 kiegészítők</t>
  </si>
  <si>
    <t>DREAMSTATION1 SZIVACSSZŰRŐ</t>
  </si>
  <si>
    <t>DREAMSTATION1 POLLENSZŰRŐ</t>
  </si>
  <si>
    <t>DREAMSTATION2 SZIVACSSZŰRŐ</t>
  </si>
  <si>
    <t>DREAMSTATION2 POLLENSZŰRŐ</t>
  </si>
  <si>
    <t>Tippünk: Ez a szűrő a készülék alapvető védelmi vonala, amely megóvja a belső motort a porszemcséktől és szennyeződésektől. Használata folyamatosan kötelező! A pontos tisztítási és csereperiódust a termékleírásban találja. Javasoljuk, hogy mindig tartson otthon tartalékot a folyamatosság érdekében.</t>
  </si>
  <si>
    <t>mi a cikkszám?</t>
  </si>
  <si>
    <t>Tippünk: Ez az opcionális pollenszűrő a legapróbb mikroszemcséket és allergiát okozó részecskéket is megszűri. Használata kifejezetten ajánlott allergiás, asztmás betegek számára, illetve a tavaszi-nyári időszakban a pihentetőbb, tiszta alvás érdekében. Használata kizárólag a szivacsszűrővel együtt értelmezendő.</t>
  </si>
  <si>
    <t xml:space="preserve">Tippünk: A baktériumszűrő extra higiéniai védelmet nyújt a kórokozók ellen, és óvja a készülék belső köreit. Különösen ajánlható legyengült immunrendszer esetén. Párásítóval egyidejűleg nem használható, mert a párától eltömítődik a szűrő membránja. </t>
  </si>
  <si>
    <t>Tippünk: Bár ez a nagyszerű és megbízható készülékmodell már nincs kereskedelmi forgalomban, a rendszeres karbantartásával és szűrőcseréjével még évekig biztosítheti a stabil működését. Ez a szűrő megóvja a belső motort a porszemcséktől, használata folyamatosan kötelező! Javasoljuk, hogy tartson otthon tartalékot, hogy a csere pillanatában azonnal kéznél legyen.</t>
  </si>
  <si>
    <t>Tippünk: Ha régebbi típusú készülékét szeretné extra védelemmel ellátni, ez az opcionális pollenszűrő a legapróbb allergiát okozó részecskéket is felfogja. Kifejezetten ajánljott allergiás, asztmás betegek számára a tavaszi-nyári időszakban, hogy a megszokott, megbízható gépével is garantáltan tiszta és pihentető legyen az alvás.</t>
  </si>
  <si>
    <t>Tippünk: A maszkpárna (szilikon) közvetlenül érintkezik a bőrrel, így az arcbőr zsírtartalma, az izzadtság és a gyakori tisztítás idővel kikezdi az anyagát, elöregedik. Ha a maszk már nem tömít tökéletesen, a hatékony terápia és a bőrirritáció elkerülése érdekében javasoljuk a maszkpárna időszakos cseréjét.</t>
  </si>
  <si>
    <t>Joyce Easy kiegészítők;Joyce ONE kiegészítők</t>
  </si>
  <si>
    <t>Tippünk: A szilikon homloktámasz biztosítja a maszk stabil pozícióját és tehermentesíti az orrnyerget. Az elöregedett, elszíneződött szilikon elveszíti a rugalmasságát, ami bőrirritációhoz vagy a maszk elmozdulásához vezethet. A maximális kényelem érdekében javasoljuk ennek az apró, de fontos alkatrésznek az időszakos cseréjét.</t>
  </si>
  <si>
    <t>1033678</t>
  </si>
  <si>
    <t>Tippünk: A fejpántok a mindennapi használat és tisztítás során idővel óhatatlanul megnyúlnak, a tépőzárak pedig veszítenek a tapadásukból. Ha azt tapasztalja, hogy a maszk rögzítése már nem stabil, vagy túl szorosra kell húznia a pántokat a tömítéshez, javasoljuk a pánt cseréjét a maximális kényelem érdekében.</t>
  </si>
  <si>
    <t>Tippünk: Az állpántok a mindennapi használat és tisztítás során idővel óhatatlanul megnyúlnak, a tépőzárak pedig veszítenek a tapadásukból. Ha azt tapasztalja, hogy a maszk rögzítése már nem stabil, vagy túl szorosra kell húznia a pántokat a tömítéshez, javasoljuk a pánt cseréjét a maximális kényelem érdekében.</t>
  </si>
  <si>
    <t>Tippünk: A maszkváz a maszk szerkezeti alapja, amely a stabilitásért felel. Idővel a mindennapi használat, a tisztítás és az arcbőr zsírtartalma miatt az anyaga megnyúlhat, elszíneződhet vagy merevvé válhat. Ha a maszk már nem áll stabilan, vagy mikrorepedések jelennek meg rajta, a hatékony terápia érdekében javasoljuk a váz cseréjét.</t>
  </si>
  <si>
    <t>Tippünk: A puha textil vázborítás megvédi az arcbőrt a nyomásnyomoktól és extra kényelmet biztosít az alvás során. Mivel közvetlenül az arccal érintkezik, a rendszeres mosás mellett is idővel elhasználódik, kibolyhosodik, és a tépőzárai veszítenek a tapadásukból. A maximális kényelem és higiénia érdekében javasoljuk az időszakos cseréjét.</t>
  </si>
  <si>
    <t>Tippünk: A maszkcső és a könyökidom biztosítja a mozgásszabadságot alvás közben, miközben fenntartja a stabil légáramlást. A rendszeres tisztítás mellett is idővel elhasználódhatnak, elszíneződhetnek vagy a csatlakozásnál megkophatnak. A higiénikus és szivárgásmentes terápia érdekében javasoljuk az időszakos cseréjüket.</t>
  </si>
  <si>
    <t>Tippünk: A kilégző adapter kulcsfontosságú biztonsági elem, amely biztosítja a szén-dioxid hatékony és folyamatos távozását a maszkból, megakadályozva a visszalégzést. A pici kilégzőnyílások eltömődése vagy az adapter anyagának fáradása rontja a terápia hatékonyságát. A biztonság érdekében javasoljuk az alkatrész időszakos frissítését.</t>
  </si>
  <si>
    <t>Tippünk: A gégecső a mindennapi használat, az éjszakai forgolódás és a tisztítások során folyamatos mechanikai hatásnak van kitéve. Idővel az anyaga elfáradhat, apró, mikroszkopikus repedések jelenhetnek meg rajta, illetve a két végén lévő gumi csatlakozók tágulhatnak, így az illeszkedés már nem lesz tökéletesen szivárgásmentes. A stabil légáramlás és a gép pontos nyomásbiztosítása érdekében javasoljuk a cső időszakos ellenőrzését és cseréjét.</t>
  </si>
  <si>
    <t>Tippünk: A puha szövetből készült gégecső huzat kiválóan szigeteli a normál csöveket, így jelentősen csökkenti a páralecsapódást a hűvösebb hálószobákban. Emellett megszünteti a műanyag cső kellemetlen, rideg érintését az ágyban, és halkítja a cső mozgásából adódó zörejeket. Higiéniai okokból javasoljuk a huzat rendszeres mosását.</t>
  </si>
  <si>
    <t>FŰTHETŐ DREAMSTATION GÉGECSŐ</t>
  </si>
  <si>
    <t>DREAMSTATION GÉGECSŐ</t>
  </si>
  <si>
    <t>Tippünk: A fűthető gégecső a legbiztosabb megoldás a kellemetlen páralecsapódás (vízcseppek a csőben és a maszkban) ellen. Folyamatosan optimális hőmérsékleten tartja a belélegzett levegőt, maximalizálva a komfortérzetet. A beépített réz fűtőszálak és a csatlakozók védelme érdekében javasoljuk a cső rendkívül óvatos tisztítását és időszakos cseréjét.</t>
  </si>
  <si>
    <t>Prismakiegészítő k;Dreamstation1 kiegészítők;Dreamstation2 kiegészítők;Somnobalance kiegészítők</t>
  </si>
  <si>
    <t>Prisma kiegészítők;</t>
  </si>
  <si>
    <t>Prisma kiegészítők;Dreamstation1 kiegészítők;Dreamstation2 kiegészítők;Somnobalance kiegészítők;Régebbi Philips modellek tartozékai;1032907;PR15;WM24445</t>
  </si>
  <si>
    <t>prisma kiegészítők;Somnobalance kiegészítők</t>
  </si>
  <si>
    <t>Tippünk: A párásító tartály (vízkamra) a mindennapi használat és a vízkőlerakódások miatt fokozott igénybevételnek van kitéve. Ha a műanyag fal elszíneződik, megreped, vagy a vízkő már eltávolíthatatlan, a higiénikus működés érdekében javasoljuk a kamra cseréjét. A hosszabb élettartam érdekében használjon desztillált vizet!</t>
  </si>
  <si>
    <t>Tippünk: A Wilasilent párásodás-mentesítő segít fenntartani a terápia optimális komfortját, megelőzve a felesleges nedvesség felhalmozódását. Higiéniai okokból és a maximális hatékonyság fenntartása érdekében javasoljuk az alkatrész rendszeres ellenőrzését és időszakos cseréjét.</t>
  </si>
  <si>
    <t>Tippünk: Ezek az apró gumi és szilikon alkatrészek felelnek a párásító rendszer tökéletes, szivárgásmentes záródásáért. Idővel a gumi elfáradhat, megnyúlhat vagy megkeményedhet, ami levegőszivárgáshoz vagy vízszivárgáshoz vezethet. A gép védelme és a pontos nyomás tartása érdekében javasoljuk az időszakos cseréjüket.</t>
  </si>
  <si>
    <t>Tippünk: Ezzel a szivargyújtós adapterrel CPAP/BiPAP készülékét autóban, lakókocsiban vagy hajón (12V/24V-os rendszerről) is biztonságosan használhatja. Ideális választás utazáshoz, kempingezéshez, így a terápia folytonossága nyaralás alatt is biztosított. Kizárólag a gépéhez passzoló, gyári adaptert használjon a stabil feszültség érdekében!</t>
  </si>
  <si>
    <t>Tippünk: A gyári hálózati tápegység biztosítja a készülék stabil és biztonságos áramellátását. A sérült, megtört kábel vagy a nem gyári utángyártott tápok használata tönkreteheti a gép érzékeny belső elektronikáját. Ha a kábel burkolata megsérült, a biztonságos használat érdekében haladéktalanul cserélje ki!</t>
  </si>
  <si>
    <t>Tippünk: A pozitív légúti nyomással végzett terápia (CPAP) során a folyamatos légáramlás kiszáríthatja vagy irritálhatja az orrnyálkahártyát, ami orrduguláshoz vezethet. Ez a speciális orrspray segít regenerálni és nedvesen tartani a nyálkahártyát, így biztosítja a szabad, kényelmes légzést a maszk használata közben is.</t>
  </si>
  <si>
    <t>Tippünk: Az SD-kártya rögzíti az Ön éjszakai terápiás adatait (alvási események, szivárgás, használati idő), amelyek elengedhetetlenek az orvosi ellenőrzésekhez. Javasoljuk, hogy kizárólag a készülékével komptatibilis, megbízható kártyát használjon, hogy elkerülje az adatvesztést vagy a gép szoftveres lefagyását.</t>
  </si>
  <si>
    <t>Tippünk: Bár ez a készülékmodell már nincs kereskedelmi forgalomban, ezzel a gyári cseregombbal könnyedén tovább használhatja meglévő gépét. Ha a régi gomb elhasználódott, nehezen reagál vagy letört, a gyors és egyszerű csere után a menürendszer navigációja újra tökéletesen fog működni.</t>
  </si>
  <si>
    <t>Tippünk: A Philips DreamWear maszkcsalád zsenialitása a modularitásban rejlik: az egyedülálló váz kompatibilis az összes párnatípussal. Ha Ön jelenleg DreamWear orrmaszkot (orr alattit vagy orrillesztékest) használ, de át szeretne váltani száj-orr (Full Face) maszkra, nem kell új maszkot vásárolnia! Elég ezt a Full Face párnát és a hozzá tartozó Full Face fejpántot beszereznie, és a meglévő vázával máris kész az új maszkja. Ne feledje: ha a szilikon anyaga idővel elszíneződik, megnyúlik vagy már nem tömít tökéletesen, a hatékony terápia érdekében javasoljuk a cseréjét. A DreamWear maszkcsalád összes többi kiegészítőjét és pótalkatrészét az [DreamWear kiegészítők] oldalon találja.</t>
  </si>
  <si>
    <t>Tippünk: Ez a speciális fejpánt szükséges ahhoz, hogy a DreamWear maszkvázat arcmaszk-párnával (Full Face) tudja használni. Ha orrmaszkról vált át száj-orr maszkra, ez az alkatrész elengedhetetlen az átalakításhoz! Ne feledje: a fejpántok a mindennapi használat és a tisztítás során idővel óhatatlanul megnyúlnak, a tépőzárak pedig veszítenek a tapadásukból. A stabil rögzítés és a maximális kényelem érdekében javasoljuk az időszakos cseréjét. A DreamWear maszkcsalád összes többi kiegészítőjét és pótalkatrészét az [ ... ] oldalon találja.</t>
  </si>
  <si>
    <t>Dreamstation1 kiegészítők;Dreamstation2 kiegészítők;Régebbi Philips modellek tartozékai</t>
  </si>
  <si>
    <t>Tippünk: Az oxigén T-adapter lehetővé teszi az arra szoruló betegeknek a kiegészítő oxigénterápia biztonságos és veszteségmentes bevezetését a légzési körbe. A repedésmentes, stabil csatlakozás elengedhetetlen a pontos oxigénadagoláshoz. A biztonságos működés és a tökéletes tömítés érdekében javasoljuk az idom rendszeres ellenőrzését és szükség szerinti cseréjét.</t>
  </si>
  <si>
    <t>DreamWear orr alatti (nasal) – innovatív dizájn irritáció nélkül. Érezze a teljes szabadságot bármilyen alvási pozícióban az orr alatti kialakításnak és a fejtetői csatlakozásnak köszönhetően</t>
  </si>
  <si>
    <t>DreamWear orrillesztékes (silicone pillows)– maximális stabilitás szilikon kúpokkal. Érezze a teljes szabadságot bármilyen alvási pozícióban az anatómiailag formázott, puha szilikon kúpoknak köszönhetően, amelyek gyengéden az orrnyílásokhoz illeszkedve még biztosabb tartást adnak éjszaka.</t>
  </si>
  <si>
    <t>A Philips Respironics DreamWear orrillesztékes maszk forradalmasítja az alvásterápiát: különleges kialakításának köszönhetően a levegő egy kellemes tapintású, puha szilikon vázban áramlik, és a finom szilikon kúpok révén közvetlenül az orrnyílásokhoz illeszkedik. Ez a hibrid megoldás extra stabilitást biztosít, miközben a használata olyan természetes érzés, mintha semmit sem viselne!
A fejtetőn elhelyezett gégecső-csatlakozás és a minimál dizájn teljes látómezőt biztosít, így zavartalanul olvashat, tévézhet, és a szemüvegviselés sem jelent akadályt. Mivel az orrillesztékes párna közvetlenül az orrnyílásokba illeszkedik, viselőjét nem terheli az orrnyereg vagy az orr alatti érzékeny bőr irritációja. A DreamWear maszk használói maximális mozgásszabadságot kapnak: a fejtetői csatlakozás és a fixen ülő szilikon kúpok révén akár intenzív mozgás közben, hason, oldalt vagy háton is aludhatnak anélkül, hogy a maszk elmozdulna vagy a cső akadályozná őket.
Szakmai érv: Az innovatív „Airflow-through-frame” technológia lehetővé teszi a légáramlást a maszk keretén belül, így minimalizálva az arcra nehezedő nyomást. A váz moduláris felépítésű: a DreamWear rendszer kompatibilis az orr alatti (nasal) és az orrillesztékes (silicone-pillows) párnákkal is, így a maszk rugalmasan az egyéni igényekhez igazítható.
Főbb előnyök:
Extra stabilitás: A puha szilikon kúpok gyengéden a helyén tartják a maszkot a legaktívabb alvóknál is.
Széles látómező: Szemüvegeseknek, esti olvasáshoz ideális.
Prémium anyaghasználat: Könnyű, puha szilikon váz és textil vázborítás.
Minimális érintkezés: Búcsút inthet az orrnyereg-irritációnak.
Rugalmasság: Minden alvási pozícióban (oldalt és hason is) stabil marad.</t>
  </si>
  <si>
    <t>A Philips Respironics DreamWear "nasal" orrmaszk forradalmasítja az alvásterápiát: különleges kialakításának köszönhetően a levegő egy kellemes tapintású, puha szilikon vázban áramlik, és csupán az orr alatt illeszkedik az arcra. Betegeink visszajelzései alapján a használata olyan természetes érzés, mintha semmit sem viselne!
A fejtetőn elhelyezett gégecső-csatlakozás és a minimál dizájn teljes látómezőt biztosít, így zavartalanul olvashat, tévézhet, és a szemüvegviselés sem jelent akadályt. Mivel az orrpárna az orr alatt helyezkedik el (nem rajta vagy körülötte), viselőjét nem terheli az orrnyereg irritációja. A DreamWear maszk használói maximális mozgásszabadságot kapnak: a fejtetői csatlakozás révén akár hason, oldalt vagy háton is aludhatnak anélkül, hogy a maszk elmozdulna vagy a cső akadályozná őket.
Szakmai érv: Az innovatív „Airflow-through-frame” technológia lehetővé teszi a légáramlást a maszk keretén belül, így minimalizálva az arcra nehezedő nyomást. A váz moduláris felépítésű: a DreamWear rendszer kompatibilis az orr alatti (nasal) és az orrillesztékes (silicone-pillows) párnákkal is, így a maszk rugalmasan az egyéni igényekhez igazítható.
Főbb előnyök:
- Széles látómező: szemüvegeseknek, esti olvasáshoz ideális.
- Prémium anyaghasználat: könnyű, puha szilikon váz és textil vázborítás.
- Minimális érintkezés: búcsút inthet az orrnyereg-irritációnak.
- Rugalmasság: minden alvási pozícióban stabil marad.</t>
  </si>
  <si>
    <t>3420770</t>
  </si>
  <si>
    <t>baktériumszűrő</t>
  </si>
  <si>
    <t>1090697</t>
  </si>
  <si>
    <t>Amara fejpánt standard</t>
  </si>
  <si>
    <t>VÍZKAMRA REMSTAR</t>
  </si>
  <si>
    <t>1104961</t>
  </si>
  <si>
    <t>1109308</t>
  </si>
  <si>
    <t>1090296</t>
  </si>
  <si>
    <t>1090696</t>
  </si>
  <si>
    <t>1090698</t>
  </si>
  <si>
    <t>LEÍRÁS v1.</t>
  </si>
  <si>
    <t>LEÍRÁS v2.</t>
  </si>
  <si>
    <r>
      <rPr>
        <b/>
        <sz val="11"/>
        <color theme="1"/>
        <rFont val="Calibri"/>
        <family val="2"/>
        <charset val="238"/>
        <scheme val="minor"/>
      </rPr>
      <t xml:space="preserve">Átaludni az éjszakát és frissen, energikusan ébredni: ez nem kiváltság, hanem az egészséges élet alapja. </t>
    </r>
    <r>
      <rPr>
        <sz val="11"/>
        <color theme="1"/>
        <rFont val="Calibri"/>
        <family val="2"/>
        <charset val="238"/>
        <scheme val="minor"/>
      </rPr>
      <t xml:space="preserve">Az alvási apnoéval élők számára a terápiás készülék jelenti a valódi megoldást a fulladásmentes, mély pihenésre. Modern, halk és intelligens készülékeink finoman alkalmazkodnak a légzéséhez, és megbízhatóan fenntartják a légutak nyitottságát. Válasszon prémium eszközeink közül, és tapasztalja meg újra a zavartalan, mély alvás és a minőségi regeneráció élményét! </t>
    </r>
  </si>
  <si>
    <r>
      <rPr>
        <b/>
        <sz val="11"/>
        <color theme="1"/>
        <rFont val="Calibri"/>
        <family val="2"/>
        <charset val="238"/>
        <scheme val="minor"/>
      </rPr>
      <t xml:space="preserve">Maximális kényelem a nyálkahártya védelmében. </t>
    </r>
    <r>
      <rPr>
        <sz val="11"/>
        <color theme="1"/>
        <rFont val="Calibri"/>
        <family val="2"/>
        <charset val="238"/>
        <scheme val="minor"/>
      </rPr>
      <t>A terápiás légáramlás gyakran kiszárítja a torkot, a szájat és az orrot. Készülékeinkhez tervezett, gyári párásító egységeink több fokozatban állítható nedvességet adnak a belélegzett levegőhöz, így a CPAP-terápia lényegesen komfortosabbá és könnyebben megszokhatóvá válik az év bármely szakában.</t>
    </r>
  </si>
  <si>
    <r>
      <rPr>
        <b/>
        <sz val="11"/>
        <color theme="1"/>
        <rFont val="Calibri"/>
        <family val="2"/>
        <charset val="238"/>
        <scheme val="minor"/>
      </rPr>
      <t>A maszk a terápia legszemélyesebb és legkritikusabb pontja.</t>
    </r>
    <r>
      <rPr>
        <sz val="11"/>
        <color theme="1"/>
        <rFont val="Calibri"/>
        <family val="2"/>
        <charset val="238"/>
        <scheme val="minor"/>
      </rPr>
      <t xml:space="preserve"> Bár a viseléséhez minden esetben hozzá kell szokni, a terápia hatékonysága és sikere nagy mértékben a megfelelő típus kiválasztásán múlik. A vezető gyártók modelljei és méretválasztéka a legkülönbözőbb arcformákhoz és alvási szokásokhoz (oldalt fekvés, forgolódás) kínálnak megoldást: legyen szó egy minimális érintkezésű, könnyű orrmaszkról, vagy akadályozott orrlégzés és magas terápiás nyomás esetén teljes arcmaszkról. Szakértő csapatunk készséggel segít megtalálni az Ön számára ideális modellt!</t>
    </r>
  </si>
  <si>
    <r>
      <rPr>
        <b/>
        <sz val="11"/>
        <color theme="1"/>
        <rFont val="Calibri"/>
        <family val="2"/>
        <charset val="238"/>
        <scheme val="minor"/>
      </rPr>
      <t>Tartsa kézben felszerelése állapotát a zavartalan pihenésért!</t>
    </r>
    <r>
      <rPr>
        <sz val="11"/>
        <color theme="1"/>
        <rFont val="Calibri"/>
        <family val="2"/>
        <charset val="238"/>
        <scheme val="minor"/>
      </rPr>
      <t xml:space="preserve"> A terápiás kiegészítők időszakos ellenőrzése kulcsfontosságú a biztonságos és komfortos működéshez. A szűrők, gégecsövek és maszkalkatrészek használat közben természetes módon veszítenek rugalmasságukból és tisztaságukból. A cseréjük szükségességét mindig a mindennapi használat és a saját kényelme jelzi. Eredeti gyári alkatrészeinkkel könnyedén fenntarthatja a hatékony terápiás élményt, miközben berendezése élettartamát is évekre biztosítja.</t>
    </r>
  </si>
  <si>
    <r>
      <rPr>
        <b/>
        <sz val="11"/>
        <color theme="1"/>
        <rFont val="Calibri"/>
        <family val="2"/>
        <charset val="238"/>
        <scheme val="minor"/>
      </rPr>
      <t xml:space="preserve">CPAP készülékeink megbízhtó, automatikusan alkalmazkodó terápiát biztosítanak. </t>
    </r>
    <r>
      <rPr>
        <sz val="11"/>
        <color theme="1"/>
        <rFont val="Calibri"/>
        <family val="2"/>
        <charset val="238"/>
        <scheme val="minor"/>
      </rPr>
      <t>Az automata működés lényege a diszkrét védelem: a készülék intelligens algoritmusa csak akkor növeli a légúti támaszt, amikor a garatfal ellazulása indokolja. Ez a célzott beavatkozás kíméletes, természetesebb légzésérzetet biztosít, miközben maradéktalanul megszünteti az apnoés epizódokat a nyugodt, mély regeneráció érdekében.</t>
    </r>
  </si>
  <si>
    <r>
      <rPr>
        <b/>
        <sz val="11"/>
        <color theme="1"/>
        <rFont val="Calibri"/>
        <family val="2"/>
        <charset val="238"/>
        <scheme val="minor"/>
      </rPr>
      <t>BiPAP készülékeink professzionális, kétirányú légzéstámogatást biztosítanak.</t>
    </r>
    <r>
      <rPr>
        <sz val="11"/>
        <color theme="1"/>
        <rFont val="Calibri"/>
        <family val="2"/>
        <charset val="238"/>
        <scheme val="minor"/>
      </rPr>
      <t xml:space="preserve"> Amikor a folyamatos pozitív nyomás már nehezítené a kilégzést, a fejlett kétnyomású technológia lép életbe. Ezek a lélegeztetőgép-szintű berendezések folyamatosan szinkronban dolgoznak a szervezet ritmusával: támogatják a belégzést, és jelentősen megkönnyítik a kilégzést. Kifejezetten azoknak a pácienseknek nyújtanak megoldást, akiknek a kezelőorvos egyedi vizsgálatok és speciális terápiás igények alapján írta elő a kétnyomású beállítást, így a terápia komplexebb légzési nehézségek mellett is kíméletes és biztonságos marad.</t>
    </r>
  </si>
  <si>
    <r>
      <rPr>
        <b/>
        <sz val="11"/>
        <color theme="1"/>
        <rFont val="Calibri"/>
        <family val="2"/>
        <charset val="238"/>
        <scheme val="minor"/>
      </rPr>
      <t xml:space="preserve">Megbízható támogatás a korábban vásárolt készülékekhez is. </t>
    </r>
    <r>
      <rPr>
        <sz val="11"/>
        <color theme="1"/>
        <rFont val="Calibri"/>
        <family val="2"/>
        <charset val="238"/>
        <scheme val="minor"/>
      </rPr>
      <t>Egy bevált terápiás eszköz éveken át hű társ a pihentető alvásban. Itt összegyűjtöttük korábbi modelljeink legfontosabb adatait, hogy könnyedén kiválaszthassa a még elérhető tartozékokat, vagy szakértő segítségünkkel zökkenőmentesen válthasson egy modern, csendesebb új készülékre.</t>
    </r>
  </si>
  <si>
    <r>
      <rPr>
        <b/>
        <sz val="11"/>
        <color theme="1"/>
        <rFont val="Calibri"/>
        <family val="2"/>
        <charset val="238"/>
        <scheme val="minor"/>
      </rPr>
      <t xml:space="preserve">Személyre szabott orrmaszk-választék az akadálytalan orrlégzés támogatására. </t>
    </r>
    <r>
      <rPr>
        <sz val="11"/>
        <color theme="1"/>
        <rFont val="Calibri"/>
        <family val="2"/>
        <charset val="238"/>
        <scheme val="minor"/>
      </rPr>
      <t>A kínálatban a különböző igényekhez és alvási szokásokhoz igazodó formák széles választéka érhető el: az alacsonyabb terápiás nyomáshoz tervezett, minimális érintkezésű, könnyed és nyitott látóterű modellektől kezdve az aktívan forgolódóknak szánt, határozottabb tartást és biztos rögzítést adó, stabilabb típusokig. Találja meg az orrformájához és éjszakai ritmusához legjobban illeszkedő kialakítást!</t>
    </r>
  </si>
  <si>
    <r>
      <rPr>
        <b/>
        <sz val="11"/>
        <color theme="1"/>
        <rFont val="Calibri"/>
        <family val="2"/>
        <charset val="238"/>
        <scheme val="minor"/>
      </rPr>
      <t>Teljes arcmaszkjaink megbízható megoldást nyújtanak szájlégzés, orrdugulás és magas terápiás nyomás esetén.</t>
    </r>
    <r>
      <rPr>
        <sz val="11"/>
        <color theme="1"/>
        <rFont val="Calibri"/>
        <family val="2"/>
        <charset val="238"/>
        <scheme val="minor"/>
      </rPr>
      <t xml:space="preserve"> Ha alvás közben a szájon át (is) veszi a levegőt, vagy az orrlégzés átmenetileg akadályozott, a teljes arcmaszk biztosítja a terápia hatékonyságát anélkül, hogy a légnyomás megszökne. Ergonomikus kialakításuk stabil illeszkedést és kiváló szivárgásmentességet ad még magasabb beállítások mellett is, garantálva a zavartalan, biztonságos éjszakai pihenést.</t>
    </r>
  </si>
  <si>
    <r>
      <rPr>
        <b/>
        <sz val="11"/>
        <color theme="1"/>
        <rFont val="Calibri"/>
        <family val="2"/>
        <charset val="238"/>
        <scheme val="minor"/>
      </rPr>
      <t xml:space="preserve">Újítsa meg maszkja kényelmét és záródását a maszkpárna cseréjével! </t>
    </r>
    <r>
      <rPr>
        <sz val="11"/>
        <color theme="1"/>
        <rFont val="Calibri"/>
        <family val="2"/>
        <charset val="238"/>
        <scheme val="minor"/>
      </rPr>
      <t>A maszkpárna a terápia legérzékenyebb pontja, hiszen közvetlenül érintkezik a bőrrel, így idővel természetes módon veszít rugalmasságából. Ha szivárgást tapasztal, vagy úgy érzi, túl szorosra kell húznia a pántokat, gyakran egy új szilikonpárna jelenti az azonnali megoldást: helyreállítja a tökéletes illeszkedést, megelőzi a bőrirritációt, és gazdaságos módon teszi újra kényelmessé a meglévő maszkját.</t>
    </r>
  </si>
  <si>
    <r>
      <rPr>
        <b/>
        <sz val="11"/>
        <color theme="1"/>
        <rFont val="Calibri"/>
        <family val="2"/>
        <charset val="238"/>
        <scheme val="minor"/>
      </rPr>
      <t xml:space="preserve">Biztos tartás és optimális kényelem elmozdulás nélkül. </t>
    </r>
    <r>
      <rPr>
        <sz val="11"/>
        <color theme="1"/>
        <rFont val="Calibri"/>
        <family val="2"/>
        <charset val="238"/>
        <scheme val="minor"/>
      </rPr>
      <t>A mindennapi viselés és tisztítás során a fejpántok rugalmassága és a tépőzárak tapadása idővel természetes módon gyengül. Ha a pánt kinyúlik, a maszk könnyen félrecsúszik, ami szivárgáshoz és a maszk kényelmetlen túlhúzásához vezethet. Eredeti gyári fejpántjainkkal gyorsan és egyszerűen visszaállíthatja a stabil, puha és nyomásmentes rögzítést a nyugodt, forgolódásbiztos éjszakákért.</t>
    </r>
  </si>
  <si>
    <r>
      <rPr>
        <b/>
        <sz val="11"/>
        <color theme="1"/>
        <rFont val="Calibri"/>
        <family val="2"/>
        <charset val="238"/>
        <scheme val="minor"/>
      </rPr>
      <t xml:space="preserve">Újítsa meg orrmaszkaj illeszkedését és kényelmét a maszkpárna cseréjével! </t>
    </r>
    <r>
      <rPr>
        <sz val="11"/>
        <color theme="1"/>
        <rFont val="Calibri"/>
        <family val="2"/>
        <charset val="238"/>
        <scheme val="minor"/>
      </rPr>
      <t>Az elhasználódott, felpuhult szilikon vagy gél párna könnyen félrecsúszik, ami bosszantó légszivárgást és bőrpírt okozhat az orrnyereg körül. Egy kompatibilis gyári cserepárnával a teljes maszk vásárlása nélkül, gazdaságosan állíthatja vissza a stabil felfekvést és a szivárgásmentes, halk működést.</t>
    </r>
  </si>
  <si>
    <r>
      <rPr>
        <b/>
        <sz val="11"/>
        <color theme="1"/>
        <rFont val="Calibri"/>
        <family val="2"/>
        <charset val="238"/>
        <scheme val="minor"/>
      </rPr>
      <t xml:space="preserve">Biztos záródás és bőrbarát felfekvés, még magas terápiás nyomás mellett is. </t>
    </r>
    <r>
      <rPr>
        <sz val="11"/>
        <color theme="1"/>
        <rFont val="Calibri"/>
        <family val="2"/>
        <charset val="238"/>
        <scheme val="minor"/>
      </rPr>
      <t>A teljes arcmaszkok nagyobb érintkezési felülete miatt a tiszta, rugalmas szilikonpárna elengedhetetlen a szivárgásmentes éjszakákhoz. Ha a párna idővel megnyúlik vagy elzsírosodik, a levegő könnyen a szem felé szökhet. Az új gyári cserepárna azonnal megszünteti a kellemetlen kifújást, és visszaadja a megszokott gyári komfortot.</t>
    </r>
  </si>
  <si>
    <r>
      <rPr>
        <b/>
        <sz val="11"/>
        <color theme="1"/>
        <rFont val="Calibri"/>
        <family val="2"/>
        <charset val="238"/>
        <scheme val="minor"/>
      </rPr>
      <t xml:space="preserve">Szüntesse meg a homlokra nehezedő nyomást és a kellemetlen piros nyomokat! </t>
    </r>
    <r>
      <rPr>
        <sz val="11"/>
        <color theme="1"/>
        <rFont val="Calibri"/>
        <family val="2"/>
        <charset val="238"/>
        <scheme val="minor"/>
      </rPr>
      <t>A homloktámasz alapvető szerepet játszik a maszkváz tehermentesítésében és az orrnyeregre nehezedő nyomás eloszlatásában. Puha, bőrbarát tartalék szilikonjainkkal és betéteinkkel biztosíthatja a stabil, mégis kíméletes alátámasztást, megóvva bőrét az irritációtól és a mély benyomódásoktól.</t>
    </r>
  </si>
  <si>
    <r>
      <rPr>
        <b/>
        <sz val="11"/>
        <color theme="1"/>
        <rFont val="Calibri"/>
        <family val="2"/>
        <charset val="238"/>
        <scheme val="minor"/>
      </rPr>
      <t xml:space="preserve">Biztos tartás és könnyed rögzítés orrmaszkjához. </t>
    </r>
    <r>
      <rPr>
        <sz val="11"/>
        <color theme="1"/>
        <rFont val="Calibri"/>
        <family val="2"/>
        <charset val="238"/>
        <scheme val="minor"/>
      </rPr>
      <t>Ha a fejpánt kinyúlt, vagy a tépőzárak már nem tapadnak megfelelően, a maszk elcsúszhat és szivároghat. A tökéletes illeszkedés érdekében mindig az adott orrmaszk pontos típusához tervezett, kompatibilis gyári fejpántot válassza, amellyel a rögzítés újra észrevétlen, puha és stabil marad egész éjszaka.</t>
    </r>
  </si>
  <si>
    <r>
      <rPr>
        <b/>
        <sz val="11"/>
        <color theme="1"/>
        <rFont val="Calibri"/>
        <family val="2"/>
        <charset val="238"/>
        <scheme val="minor"/>
      </rPr>
      <t xml:space="preserve">Erős, többpontos stabilitás a nagyobb felületű arcmaszkokhoz. </t>
    </r>
    <r>
      <rPr>
        <sz val="11"/>
        <color theme="1"/>
        <rFont val="Calibri"/>
        <family val="2"/>
        <charset val="238"/>
        <scheme val="minor"/>
      </rPr>
      <t>A teljes arcmaszkok kiegyensúlyozott nyomástartásához elengedhetetlen a megfelelő támasztás. Mivel a csatlakozási pontok és a pántvezetések modellenként eltérnek, a stabil éjszakai kényelem és a szivárgásmentesség záloga a pontosan az Ön arcmaszktípusához gyártott fejpánt kiválasztása.</t>
    </r>
  </si>
  <si>
    <r>
      <rPr>
        <b/>
        <sz val="11"/>
        <color theme="1"/>
        <rFont val="Calibri"/>
        <family val="2"/>
        <charset val="238"/>
        <scheme val="minor"/>
      </rPr>
      <t xml:space="preserve">Költséghatékony felújítás meglévő maszkjához. </t>
    </r>
    <r>
      <rPr>
        <sz val="11"/>
        <color theme="1"/>
        <rFont val="Calibri"/>
        <family val="2"/>
        <charset val="238"/>
        <scheme val="minor"/>
      </rPr>
      <t>Egy véletlen törés vagy repedés esetén nem kell feltétlenül vadonatúj maszkba beruháznia. Bár a gyártók nem minden típushoz biztosítanak külön vázrészt, az itt elérhető gyári cserevázak segítségével a kompatibilis modellek pillanatok alatt újjávarázsolhatók, megőrizve a már megszokott fejpántot és szilikonpárnát.</t>
    </r>
  </si>
  <si>
    <r>
      <rPr>
        <b/>
        <sz val="11"/>
        <color theme="1"/>
        <rFont val="Calibri"/>
        <family val="2"/>
        <charset val="238"/>
        <scheme val="minor"/>
      </rPr>
      <t xml:space="preserve">Extra puhaság és bőrvédelem a még kényelmesebb éjszakákért. </t>
    </r>
    <r>
      <rPr>
        <sz val="11"/>
        <color theme="1"/>
        <rFont val="Calibri"/>
        <family val="2"/>
        <charset val="238"/>
        <scheme val="minor"/>
      </rPr>
      <t>Bizonyos maszktípusokhoz elérhető puha textil vázborítások megakadályozzák a szilikon vagy műanyag keret közvetlen érintkezését az arcbőrrel. Hatékonyan csökkentik az éjszakai izzadást, megelőzik a piros nyomok és a bőrirritáció kialakulását, kellemes, bársonyos tapintást biztosítva egész éjjel.</t>
    </r>
  </si>
  <si>
    <r>
      <rPr>
        <b/>
        <sz val="11"/>
        <color theme="1"/>
        <rFont val="Calibri"/>
        <family val="2"/>
        <charset val="238"/>
        <scheme val="minor"/>
      </rPr>
      <t>Gyári könyökidomok a folyamatos biztonságért.</t>
    </r>
    <r>
      <rPr>
        <sz val="11"/>
        <color theme="1"/>
        <rFont val="Calibri"/>
        <family val="2"/>
        <charset val="238"/>
        <scheme val="minor"/>
      </rPr>
      <t xml:space="preserve"> A könyökidomok és kilégzőnyílások felelnek a kilélegzett szén-dioxid hatékony, csendes elvezetéséért, valamint a cső szabad, elakadásmentes mozgásáért. Bár a gyártók csak bizonyos típusoknál teszik lehetővé a könyök külön cseréjét, kínálatunkban megtalálja az elérhető gyári alkatrészeket a meglévő maszk csendes, biztonságos működésének fenntartásához.</t>
    </r>
  </si>
  <si>
    <r>
      <rPr>
        <b/>
        <sz val="11"/>
        <color theme="1"/>
        <rFont val="Calibri"/>
        <family val="2"/>
        <charset val="238"/>
        <scheme val="minor"/>
      </rPr>
      <t xml:space="preserve">Eredeti gyári kiegészítők a maszkrendszer megbízható és tartós működéséért. </t>
    </r>
    <r>
      <rPr>
        <sz val="11"/>
        <color theme="1"/>
        <rFont val="Calibri"/>
        <family val="2"/>
        <charset val="238"/>
        <scheme val="minor"/>
      </rPr>
      <t>Vázak, puha vázborítások, könyökidomok, kilégző adapterek és rögzítőelemek egy helyen. Nem szükséges azonnal komplett maszkot váltania: az apróbb alkatrészek célzott pótlásával gazdaságosan újíthatja fel felszerelését, fenntartva a szivárgásmentes, halk és kényelmes terápiás élményt.</t>
    </r>
  </si>
  <si>
    <r>
      <rPr>
        <b/>
        <sz val="11"/>
        <color theme="1"/>
        <rFont val="Calibri"/>
        <family val="2"/>
        <charset val="238"/>
        <scheme val="minor"/>
      </rPr>
      <t xml:space="preserve">Gyári gégecsövek az optimális nyomás- és légáramlás fenntartására. </t>
    </r>
    <r>
      <rPr>
        <sz val="11"/>
        <color theme="1"/>
        <rFont val="Calibri"/>
        <family val="2"/>
        <charset val="238"/>
        <scheme val="minor"/>
      </rPr>
      <t>Bár a csövek cseréjénél a csatlakozási átmérő a mérvadó, a tökéletesen szivárgásmentes és stabil működéshez mindig a készülék márkájával kompatibilis gyári modellt ajánljuk. Egyes típusokhoz speciális fűthető gégecsövet is választhat, kiegészítő csőhuzatainkkal pedig még kellemesebbé és csendesebbé teheti az ágyban való mozgást.</t>
    </r>
  </si>
  <si>
    <r>
      <rPr>
        <b/>
        <sz val="11"/>
        <color theme="1"/>
        <rFont val="Calibri"/>
        <family val="2"/>
        <charset val="238"/>
        <scheme val="minor"/>
      </rPr>
      <t xml:space="preserve">Megbízható víztartályok és tömítések a higiénikus, szivárgásmentes párásításért. </t>
    </r>
    <r>
      <rPr>
        <sz val="11"/>
        <color theme="1"/>
        <rFont val="Calibri"/>
        <family val="2"/>
        <charset val="238"/>
        <scheme val="minor"/>
      </rPr>
      <t>A vízkövesedés vagy az elöregedett tömítések idővel csökkenthetik a párásítás hatékonyságát, és szivárgáshoz vezethetnek. Gyári cserealkatrészeinkkel könnyedén fenntarthatja a tiszta működést. Amennyiben valamelyik belső tartozék vagy tömítés cseréje szervizes tapasztalatot igényel, szaküzletünk és felkészült szervizcsapatunk készséggel áll rendelkezésére a szakszerű beszerelésben.</t>
    </r>
  </si>
  <si>
    <r>
      <rPr>
        <b/>
        <sz val="11"/>
        <color theme="1"/>
        <rFont val="Calibri"/>
        <family val="2"/>
        <charset val="238"/>
        <scheme val="minor"/>
      </rPr>
      <t xml:space="preserve">Gyári tápegységek és járműves adapterek a folyamatos terápiás biztonságért. </t>
    </r>
    <r>
      <rPr>
        <sz val="11"/>
        <color theme="1"/>
        <rFont val="Calibri"/>
        <family val="2"/>
        <charset val="238"/>
        <scheme val="minor"/>
      </rPr>
      <t>A terápiás készülékek érzékeny elektronikája megbízható áramforrást igényel a gépjárművekben is. Kínálatunkban megtalálja a kamionokhoz (24V), személyautókhoz (12V) optimalizált, túlfeszültség ellen védett szivargyújtó-kábeleket és eredeti hálózati töltőket, amelyekkel a terápia zökkenőmentesen folytatható fuvarozás, munkaút vagy családi nyaralás közben.</t>
    </r>
  </si>
  <si>
    <t>4.9</t>
  </si>
  <si>
    <r>
      <rPr>
        <b/>
        <sz val="11"/>
        <color theme="1"/>
        <rFont val="Calibri"/>
        <family val="2"/>
        <charset val="238"/>
        <scheme val="minor"/>
      </rPr>
      <t xml:space="preserve">Praktikus kiegészítők és alkatrészek a zökkenőmentes mindennapokért. </t>
    </r>
    <r>
      <rPr>
        <sz val="11"/>
        <color theme="1"/>
        <rFont val="Calibri"/>
        <family val="2"/>
        <charset val="238"/>
        <scheme val="minor"/>
      </rPr>
      <t>Az adatkövetéshez szükséges SD kártyáktól a szabad légzést támogató orrspray-ken át az olyan ritkább pótalkatrészekig, mint a korábbi modellek tekerőgombjai, ebben a kategóriában minden olyan hasznos tartozékot megtalál, amely teljessé, kényelmessé és gondtalanná teszi a mindennapi terápiát.</t>
    </r>
  </si>
  <si>
    <r>
      <rPr>
        <b/>
        <sz val="11"/>
        <color theme="1"/>
        <rFont val="Calibri"/>
        <family val="2"/>
        <charset val="238"/>
        <scheme val="minor"/>
      </rPr>
      <t xml:space="preserve">Kétirányú védelem és maximális higiénia a nyugodt légzésért. </t>
    </r>
    <r>
      <rPr>
        <sz val="11"/>
        <color theme="1"/>
        <rFont val="Calibri"/>
        <family val="2"/>
        <charset val="238"/>
        <scheme val="minor"/>
      </rPr>
      <t>Az opcionálisan alkalmazható baktériumszűrők mind a belélegzett, mind a visszaáramló levegőt hatékonyan megszűrik, védve a pácienst és a készüléket is. Bár a beszállítói gyártástól függően a szűrőházak külső megjelenése eltérhet, szűrési hatékonyságuk és megbízhatóságuk minden esetben azonos, prémium biztonságot nyújt.</t>
    </r>
  </si>
  <si>
    <r>
      <rPr>
        <b/>
        <sz val="11"/>
        <color theme="1"/>
        <rFont val="Calibri"/>
        <family val="2"/>
        <charset val="238"/>
        <scheme val="minor"/>
      </rPr>
      <t xml:space="preserve">Eredeti Löwenstein szűrők a német készülékek pontos védelmére. </t>
    </r>
    <r>
      <rPr>
        <sz val="11"/>
        <color theme="1"/>
        <rFont val="Calibri"/>
        <family val="2"/>
        <charset val="238"/>
        <scheme val="minor"/>
      </rPr>
      <t>Válassza a készülékházhoz pontosan illeszkedő gyári szűrőket: a rendszeresen ellenőrizendő és mosható szivacsszűrőt a porvédelemért, valamint a cserélhető, finom pollenszűrőt az allergének és apró részecskék megbízható kiszűrésére, hogy a motor és a tüdeje is védve maradjon.</t>
    </r>
  </si>
  <si>
    <r>
      <rPr>
        <b/>
        <sz val="11"/>
        <color theme="1"/>
        <rFont val="Calibri"/>
        <family val="2"/>
        <charset val="238"/>
        <scheme val="minor"/>
      </rPr>
      <t xml:space="preserve">Pontos illeszkedés az AeonMed AS100 készülékekhez. </t>
    </r>
    <r>
      <rPr>
        <sz val="11"/>
        <color theme="1"/>
        <rFont val="Calibri"/>
        <family val="2"/>
        <charset val="238"/>
        <scheme val="minor"/>
      </rPr>
      <t>A típusazonos szűrők biztosítják az AS100 készülék optimális légáramlását, tehermentesítik a motort és megóvják a belélegzett levegő tisztaságát a zavartalan terápiás kényelemért.</t>
    </r>
  </si>
  <si>
    <r>
      <rPr>
        <b/>
        <sz val="11"/>
        <color theme="1"/>
        <rFont val="Calibri"/>
        <family val="2"/>
        <charset val="238"/>
        <scheme val="minor"/>
      </rPr>
      <t xml:space="preserve">Gyári és kompatibilis Philips szűrők a készülék védelméért és az Ön egészségéért. </t>
    </r>
    <r>
      <rPr>
        <sz val="11"/>
        <color theme="1"/>
        <rFont val="Calibri"/>
        <family val="2"/>
        <charset val="238"/>
        <scheme val="minor"/>
      </rPr>
      <t>Legyen szó a régebbi RemStar modellek klasszikus szivacs- és pollenszűrőiről vagy a korszerűbb DreamStation sorozat betéteiről, kínálatunkban megtalálja a gépéhez illő megoldást. A mosható szivacsszűrő az alapvető porvédelmet, míg az opcionális, nem mosható ultra-finom pollenszűrő az allergénmentes, tiszta légáramlást biztosítja.</t>
    </r>
  </si>
  <si>
    <t>Felhívjuk szíves figyelmét, hogy amennyiben Ön az alvásterápiás készülékét TB támogatással vásárolta, úgy évente 1 alkalommal lehetősége van receptre íratni az orrmaszk+fejpánt csomagot, így azt is TB támogatással tudja megvásárolni. Arcmaszkok esetében a TB támogatás egyedi elbírálás alapján működhet. Webáruházon keresztül ez nem intézhető, ezért kérjük először keresse fel alvásterápiás orvosát, majd a Szaküzlet munkatársait. </t>
  </si>
  <si>
    <t>SEO URL</t>
  </si>
  <si>
    <t>SEO Meta cím</t>
  </si>
  <si>
    <t>SEO Meta leírás</t>
  </si>
  <si>
    <t>lowenstein-prisma-smart-auto-cpap-fekete</t>
  </si>
  <si>
    <t>Löwenstein prisma SMART Auto CPAP készülék | Alvásterápia</t>
  </si>
  <si>
    <t>Prémium német Löwenstein prisma SMART automata CPAP készülék alvási apnoé kezelésére. Csendes, SoftStart és SoftPAP funkcióval. Szakértői garanciával!</t>
  </si>
  <si>
    <t>lowenstein-prisma-smart-plus-auto-cpap-feher</t>
  </si>
  <si>
    <t>Löwenstein prisma SMART plus Auto CPAP gép | Alvásterápia</t>
  </si>
  <si>
    <t>Löwenstein prisma SMART plus CPAP készülék beépített Bluetooth kapcsolattal, app-követéssel és halk működéssel. Szakértői szerviz és megbízható támogatás.</t>
  </si>
  <si>
    <t>lowenstein-prisma-20a-auto-cpap</t>
  </si>
  <si>
    <t>Löwenstein Prisma 20A Auto CPAP készülék | Alvásterápia</t>
  </si>
  <si>
    <t>Érintőképernyős Löwenstein Prisma 20A prémium CPAP gép FOT technológiával a precíz apnoé kezelésért. Halk üzem, SoftPAP könnyítés és orvosi megbízhatóság.</t>
  </si>
  <si>
    <t>philips-dreamstation-auto-cpap</t>
  </si>
  <si>
    <t>Philips DreamStation Auto CPAP készülék | Alvásterápia</t>
  </si>
  <si>
    <t>Elegáns Philips DreamStation automata CPAP készülék A-Flex kilégzési nyomáskönnyítéssel, intuitív kezeléssel és csendes terápiás működéssel. Rendelje meg!</t>
  </si>
  <si>
    <t>philips-dreamstation-2-auto-cpap</t>
  </si>
  <si>
    <t>Philips DreamStation 2 Auto CPAP készülék | Alvásterápia</t>
  </si>
  <si>
    <t>Új generációs Philips DreamStation 2 auto CPAP színes érintőképernyővel és beépített párásítóval. Kompakt méret, intelligens algoritmus és maximális kényelem.</t>
  </si>
  <si>
    <t>aeonmed-as100a-auto-cpap-keszulek</t>
  </si>
  <si>
    <t>AeonMed AS100A Auto CPAP készülék | Alvásterápia</t>
  </si>
  <si>
    <t>Megbízható, érintőképernyős AeonMed AS100A automata CPAP gép csendes üzemeléssel és intelligens nyomásszabályozással alvási apnoé kezelésére. Kérjen segítséget!</t>
  </si>
  <si>
    <t>lowenstein-prisma-25s-auto-bipap</t>
  </si>
  <si>
    <t>Löwenstein prisma 25S Auto BiPAP készülék | Alvásterápia</t>
  </si>
  <si>
    <t>Prémium Löwenstein prisma 25S automata BiLevel készülék magas nyomásigényre és komplex apnoéra. Csendes működés, SoftPAP és szakértői szerviztámogatás.</t>
  </si>
  <si>
    <t>lowenstein-prisma-30st-bilevel-keszulek</t>
  </si>
  <si>
    <t>Löwenstein prisma30ST BiLevel-ST készülék | Alvásterápia</t>
  </si>
  <si>
    <t>Professzionális Löwenstein prisma30ST BiLevel-ST terápiás készülék komplex igényekre. Precíz német technológia, halk üzem és megbízható szervizháttér.</t>
  </si>
  <si>
    <t>lowenstein-prisma-cr-acsv-keszulek</t>
  </si>
  <si>
    <t>Löwenstein prismaCR AcSV terápiás készülék | Alvásterápia</t>
  </si>
  <si>
    <t>Speciális Löwenstein prismaCR szervo-lélegeztető készülék komplex és periodikus légzészavarokra. Orvostechnikai precizitás és megbízható szakértői háttér.</t>
  </si>
  <si>
    <t>lowenstein-somnobalance-cpap-tartozekok</t>
  </si>
  <si>
    <t>Löwenstein SomnoBalance CPAP alkatrészek | Alvásterápia</t>
  </si>
  <si>
    <t>Eredeti gyári szűrők, gégecsövek és pótalkatrészek a kifutott Löwenstein SomnoBalance készülékhez. Tartsa karban meglévő CPAP gépét megbízhatóan!</t>
  </si>
  <si>
    <t>philips-remstar-auto-aflex-tartozekok</t>
  </si>
  <si>
    <t>Philips Remstar Auto A-Flex CPAP alkatrészek | Alvásterápia</t>
  </si>
  <si>
    <t>Kompatibilis szűrők, víztartályok és tartozékok Philips Remstar Auto A-Flex gépekhez. Kifutott típus megbízható gyári alkatrész- és szervizellátással.</t>
  </si>
  <si>
    <t>philips-remstar-pro-cflex-tartozekok</t>
  </si>
  <si>
    <t>Philips Remstar Pro C-Flex CPAP tartozékok | Alvásterápia</t>
  </si>
  <si>
    <t>Gyári szűrők, tápegységek és alkatrészek a kifutott Philips Remstar Pro C-Flex készülékhez. Rendeljen pótalkatrészt közvetlenül szaküzletünkből!</t>
  </si>
  <si>
    <t>philips-bipap-auto-in751s-alkatreszek</t>
  </si>
  <si>
    <t>Philips BiPAP Auto IN751S alkatrészek | Alvásterápia</t>
  </si>
  <si>
    <t>Eredeti szűrők, maszkok és kiegészítők a korábbi Philips BiPAP Auto IN751S készülékhez. Biztosítsa meglévő terápiás gépe zavartalan működését!</t>
  </si>
  <si>
    <t>philips-bipap-auto-m-in701s-tartozekok</t>
  </si>
  <si>
    <t>Philips BiPAP Auto M IN701S tartozékok | Alvásterápia</t>
  </si>
  <si>
    <t>Kompatibilis szűrők, tápkábelek és alkatrészek a kifutott Philips BiPAP Auto M sorozathoz. Gyors alkatrészpótlás és szakértői háttértámogatás.</t>
  </si>
  <si>
    <t>philips-remstar-cpap-flex-in171-tartozekok</t>
  </si>
  <si>
    <t>Philips Remstar CPAP Flex IN171 alkatrészek | Alvásterápia</t>
  </si>
  <si>
    <t>Porszűrők, pollenszűrők és kiegészítők a Philips Remstar Flex IN171 készülékhez. Megbízható alkatrészellátás és szerviztámogatás kifutott gépekhez.</t>
  </si>
  <si>
    <t>philips-remstar-cpap-flex-in251s-szurok</t>
  </si>
  <si>
    <t>Philips Remstar Flex IN251S alkatrészek | Alvásterápia</t>
  </si>
  <si>
    <t>Rendeljen eredeti szűrőket és gégecsöveket a klasszikus Philips Remstar Flex IN251S CPAP gépéhez. Fenntartás és tartozékok szakértői garanciával.</t>
  </si>
  <si>
    <t>philips-remstar-m-cpap-in101-tartozekok</t>
  </si>
  <si>
    <t>Philips Remstar M CPAP IN101 alkatrészek | Alvásterápia</t>
  </si>
  <si>
    <t>Kompatibilis szivacsszűrők, finomszűrők és tartozékok a korábbi generációs Philips Remstar M sorozathoz. Gondoskodjon készüléke tiszta üzemeléséről!</t>
  </si>
  <si>
    <t>philips-bipap-auto-system-one-alkatreszek</t>
  </si>
  <si>
    <t>Philips System One BiPAP alkatrészek | Alvásterápia</t>
  </si>
  <si>
    <t>Gyári System One víztartályok, pollenszűrők és csövek Philips BiPAP Auto készülékekhez. Kifutott típus megbízható alkatrész- és tartozékellátással.</t>
  </si>
  <si>
    <t>philips-bipap-autosv-tartozekok</t>
  </si>
  <si>
    <t>Philips BiPAP AutoSV készülék alkatrészek | Alvásterápia</t>
  </si>
  <si>
    <t>Speciális tartozékok, szűrők és légzőcsövek a Philips BiPAP AutoSV terápiás géphez. Szakértői háttér és kompatibilis kiegészítők kifutott modellekhez.</t>
  </si>
  <si>
    <t>philips-bipap-avaps-alkatreszek</t>
  </si>
  <si>
    <t>Philips BiPAP AVAPS alkatrészek és szűrők | Alvásterápia</t>
  </si>
  <si>
    <t>Gyári szűrők, tápegységek és gégecsövek Philips BiPAP AVAPS lélegeztető készülékhez. Tartsa megbízható állapotban gépe alkatrész-ellátottságát!</t>
  </si>
  <si>
    <t>lowenstein-prisma-aqua-parasito-feher</t>
  </si>
  <si>
    <t>Löwenstein prismaAQUA fűthető párásító fehér | Alvásterápia</t>
  </si>
  <si>
    <t>Gyári fűthető Löwenstein prismaAQUA párásító fehér színben, prisma SMART és SMART Plus készülékekhez. Szájszárazság ellen, optimális éjszakai páratartalom.</t>
  </si>
  <si>
    <t>lowenstein-prisma-aqua-parasito-fekete</t>
  </si>
  <si>
    <t>Löwenstein prismaAQUA fűthető párásító fekete | Alvásterápia</t>
  </si>
  <si>
    <t>Eredeti fekete Löwenstein prismaAQUA fűthető párásító prisma SMART, 20A és BiPAP gépekhez. Hatékony megelőzés a légúti kiszáradás ellen. Rendelje meg!</t>
  </si>
  <si>
    <t>lowenstein-somnoaqua-futott-parasito</t>
  </si>
  <si>
    <t>Löwenstein SomnoAqua fűthető párásító | Alvásterápia</t>
  </si>
  <si>
    <t>Gyári Löwenstein SomnoAqua fűthető párásító egység a SOMNObalance CPAP készülékekhez. Kellemes, meleg páratartalom és irritációmentes éjszakai légzés.</t>
  </si>
  <si>
    <t>philips-dreamstation-futheto-parasito-euxh</t>
  </si>
  <si>
    <t>Philips DreamStation fűthető párásító | Alvásterápia</t>
  </si>
  <si>
    <t>Eredeti Philips DreamStation fűthető párásító egység intelligens páraszabályozással. Megszünteti a szájszárazságot és növeli az alvásterápia komfortját.</t>
  </si>
  <si>
    <t>aeonmed-as100a-futheto-parasito</t>
  </si>
  <si>
    <t>AeonMed AS100A fűthető párásító egység | Alvásterápia</t>
  </si>
  <si>
    <t>Gyári fűthető párásító AeonMed AS100A CPAP készülékekhez. Könnyen feltölthető és tisztítható vízkamra a szivárgásmentes, párásított légúti támogatásért.</t>
  </si>
  <si>
    <t>lowenstein-cara-orrmaszk-xs</t>
  </si>
  <si>
    <t>Löwenstein CARA orrmaszk XS méret | Alvásterápia</t>
  </si>
  <si>
    <t>Ultrakönnyű Löwenstein CARA CPAP orrmaszk XS méretben. Puha szilikonpárna, csendes kilégzés és anatómiai illeszkedés a zavartalan alvásért. Rendelje meg!</t>
  </si>
  <si>
    <t>lowenstein-cara-orrmaszk-sm</t>
  </si>
  <si>
    <t>Löwenstein CARA orrmaszk S/M méret | Alvásterápia</t>
  </si>
  <si>
    <t>Ultrakönnyű Löwenstein CARA CPAP orrmaszk S/M méretben. Puha szilikonpárna, csendes kilégzés és anatómiai illeszkedés a zavartalan alvásért. Rendelje meg!</t>
  </si>
  <si>
    <t>lowenstein-cara-orrmaszk-ml</t>
  </si>
  <si>
    <t>Löwenstein CARA orrmaszk M/L méret | Alvásterápia</t>
  </si>
  <si>
    <t>Ultrakönnyű Löwenstein CARA CPAP orrmaszk M/L méretben. Puha szilikonpárna, csendes kilégzés és anatómiai illeszkedés a zavartalan alvásért. Rendelje meg!</t>
  </si>
  <si>
    <t>lowenstein-cara-orrmaszk-xl</t>
  </si>
  <si>
    <t>Löwenstein CARA orrmaszk XL méret | Alvásterápia</t>
  </si>
  <si>
    <t>Ultrakönnyű Löwenstein CARA CPAP orrmaszk XL méretben. Puha szilikonpárna, csendes kilégzés és anatómiai illeszkedés a zavartalan alvásért. Rendelje meg!</t>
  </si>
  <si>
    <t>lowenstein-joyce-easy-orrmaszk-s</t>
  </si>
  <si>
    <t>Löwenstein JOYCE Easy orrmaszk S méret | Alvásterápia</t>
  </si>
  <si>
    <t>Klasszikus, rendkívül stabil Löwenstein JOYCE Easy CPAP orrmaszk S méretben. Állítható homloktámasz, csendes szelep és szivárgásmentes illeszkedés.</t>
  </si>
  <si>
    <t>lowenstein-joyce-easy-orrmaszk-m</t>
  </si>
  <si>
    <t>Löwenstein JOYCE Easy orrmaszk M méret | Alvásterápia</t>
  </si>
  <si>
    <t>Klasszikus, rendkívül stabil Löwenstein JOYCE Easy CPAP orrmaszk M méretben. Állítható homloktámasz, csendes szelep és szivárgásmentes illeszkedés.</t>
  </si>
  <si>
    <t>lowenstein-joyce-easy-orrmaszk-l</t>
  </si>
  <si>
    <t>Löwenstein JOYCE Easy orrmaszk L méret | Alvásterápia</t>
  </si>
  <si>
    <t>Klasszikus, rendkívül stabil Löwenstein JOYCE Easy CPAP orrmaszk L méretben. Állítható homloktámasz, csendes szelep és szivárgásmentes illeszkedés.</t>
  </si>
  <si>
    <t>lowenstein-joyce-one-orrmaszk</t>
  </si>
  <si>
    <t>Löwenstein JOYCE One univerzális orrmaszk | Alvásterápia</t>
  </si>
  <si>
    <t>Intelligens, egyméretes Löwenstein JOYCE One CPAP orrmaszk. Automatikusan az arcformához idomuló szilikonpárna és homloktámasz a gondtalan választásért.</t>
  </si>
  <si>
    <t>lowenstein-julia-orrmaszk-s</t>
  </si>
  <si>
    <t>Löwenstein JULIA orrmaszk S méret | Alvásterápia</t>
  </si>
  <si>
    <t>Új generációs Löwenstein JULIA CPAP orrmaszk S méretben. Kifejezetten csendes diffúzor, finom tapintás és stabil tartás a szivárgásmentes éjszakákért.</t>
  </si>
  <si>
    <t>lowenstein-julia-orrmaszk-m</t>
  </si>
  <si>
    <t>Löwenstein JULIA orrmaszk M méret | Alvásterápia</t>
  </si>
  <si>
    <t>Új generációs Löwenstein JULIA CPAP orrmaszk M méretben. Kifejezetten csendes diffúzor, finom tapintás és stabil tartás a szivárgásmentes éjszakákért.</t>
  </si>
  <si>
    <t>lowenstein-julia-orrmaszk-l</t>
  </si>
  <si>
    <t>Löwenstein JULIA orrmaszk L méret | Alvásterápia</t>
  </si>
  <si>
    <t>Új generációs Löwenstein JULIA CPAP orrmaszk L méretben. Kifejezetten csendes diffúzor, finom tapintás és stabil tartás a szivárgásmentes éjszakákért.</t>
  </si>
  <si>
    <t>philips-dreamwear-orrmaszk-fitpack</t>
  </si>
  <si>
    <t>Philips DreamWear orrmaszk FitPack (4 méret) | Alvásterápia</t>
  </si>
  <si>
    <t>Innovatív Philips DreamWear orr alatti CPAP maszk 4 mérettel egy csomagban. Fejtetői csőcsatlakozás, szabad látómező és teljes mozgásszabadság alváskor.</t>
  </si>
  <si>
    <t>philips-nuance-pro-gel-orrmaszk</t>
  </si>
  <si>
    <t>Philips Nuance Pro Gel orrillesztékes maszk | Alvásterápia</t>
  </si>
  <si>
    <t>Prémium Philips Nuance Pro Gel zselés orrpárnás CPAP maszk gél-támasztékos fejpánttal. Kiváló stabilitás, minimális nyomáspontok és kényelmes alvás.</t>
  </si>
  <si>
    <t>philips-pico-orrmaszk-sm</t>
  </si>
  <si>
    <t>Philips Pico orrmaszk S/M méret | Alvásterápia</t>
  </si>
  <si>
    <t>Minimalista és ultrakönnyű Philips Pico CPAP orrmaszk S/M méretben. Homloktámasz nélküli kialakítás a szabad látómezőért és a zavartalan olvasásért.</t>
  </si>
  <si>
    <t>philips-pico-orrmaszk-l</t>
  </si>
  <si>
    <t>Philips Pico orrmaszk L méret | Alvásterápia</t>
  </si>
  <si>
    <t>Minimalista és ultrakönnyű Philips Pico CPAP orrmaszk L méretben. Homloktámasz nélküli kialakítás a szabad látómezőért és a zavartalan olvasásért.</t>
  </si>
  <si>
    <t>philips-pico-orrmaszk-xl</t>
  </si>
  <si>
    <t>Philips Pico orrmaszk XL méret | Alvásterápia</t>
  </si>
  <si>
    <t>Minimalista és ultrakönnyű Philips Pico CPAP orrmaszk XL méretben. Homloktámasz nélküli kialakítás a szabad látómezőért és a zavartalan olvasásért.</t>
  </si>
  <si>
    <t>philips-wisp-orrmaszk-atlatszo-vaz</t>
  </si>
  <si>
    <t>Philips Wisp orrmaszk átlátszó vázzal FitPack | Alvásterápia</t>
  </si>
  <si>
    <t>Népszerű Philips Wisp orrmaszk diszkrét átlátszó műanyag vázzal. FitPack csomag 3 mérettel (S/M, L, XL), flexibilis rövid csővel és stabil rögzítéssel.</t>
  </si>
  <si>
    <t>philips-wisp-orrmaszk-textil-vaz</t>
  </si>
  <si>
    <t>Philips Wisp orrmaszk textil vázzal FitPack | Alvásterápia</t>
  </si>
  <si>
    <t>Puhább érzetű Philips Wisp orrmaszk puha szövetkerettel. 3 méret egy dobozban a tökéletes illeszkedésért, homloktámasz nélküli szabad kilátással.</t>
  </si>
  <si>
    <t>lowenstein-cara-full-face-maszk-s</t>
  </si>
  <si>
    <t>Löwenstein CARA Full Face arcmaszk S méret | Alvásterápia</t>
  </si>
  <si>
    <t>Pehelykönnyű Löwenstein CARA Full Face orr-száj maszk S méretben. Puha szilikonpárna, csendes kilégzés és szivárgásmentes illeszkedés. Rendelje meg!</t>
  </si>
  <si>
    <t>lowenstein-cara-full-face-maszk-m</t>
  </si>
  <si>
    <t>Löwenstein CARA Full Face arcmaszk M méret | Alvásterápia</t>
  </si>
  <si>
    <t>Pehelykönnyű Löwenstein CARA Full Face orr-száj maszk M méretben. Puha szilikonpárna, csendes kilégzés és szivárgásmentes illeszkedés. Rendelje meg!</t>
  </si>
  <si>
    <t>lowenstein-cara-full-face-maszk-l</t>
  </si>
  <si>
    <t>Löwenstein CARA Full Face arcmaszk L méret | Alvásterápia</t>
  </si>
  <si>
    <t>Pehelykönnyű Löwenstein CARA Full Face orr-száj maszk L méretben. Puha szilikonpárna, csendes kilégzés és szivárgásmentes illeszkedés. Rendelje meg!</t>
  </si>
  <si>
    <t>lowenstein-cara-full-face-maszk-xl</t>
  </si>
  <si>
    <t>Löwenstein CARA Full Face arcmaszk XL méret | Alvásterápia</t>
  </si>
  <si>
    <t>Pehelykönnyű Löwenstein CARA Full Face orr-száj maszk XL méretben. Puha szilikonpárna, csendes kilégzés és szivárgásmentes illeszkedés. Rendelje meg!</t>
  </si>
  <si>
    <t>lowenstein-joyce-easy-full-face-maszk-s</t>
  </si>
  <si>
    <t>Löwenstein JOYCEeasy Full Face arcmaszk S | Alvásterápia</t>
  </si>
  <si>
    <t>Klasszikus Löwenstein JOYCEeasy Full Face orr-száj maszk S méretben. Bőrbarát SilkTec bevonat, állítható homloktámasz és stabil rögzítés nyomás alatt is.</t>
  </si>
  <si>
    <t>lowenstein-joyce-easy-full-face-maszk-m</t>
  </si>
  <si>
    <t>Löwenstein JOYCEeasy Full Face arcmaszk M | Alvásterápia</t>
  </si>
  <si>
    <t>Klasszikus Löwenstein JOYCEeasy Full Face orr-száj maszk M méretben. Bőrbarát SilkTec bevonat, állítható homloktámasz és stabil rögzítés nyomás alatt is.</t>
  </si>
  <si>
    <t>lowenstein-joyce-easy-full-face-maszk-l</t>
  </si>
  <si>
    <t>Löwenstein JOYCEeasy Full Face arcmaszk L | Alvásterápia</t>
  </si>
  <si>
    <t>Klasszikus Löwenstein JOYCEeasy Full Face orr-száj maszk L méretben. Bőrbarát SilkTec bevonat, állítható homloktámasz és stabil rögzítés nyomás alatt is.</t>
  </si>
  <si>
    <t>lowenstein-joyce-easy-next-full-face-maszk-s</t>
  </si>
  <si>
    <t>Löwenstein JOYCEeasy next FF arcmaszk S | Alvásterápia</t>
  </si>
  <si>
    <t>Új generációs Löwenstein JOYCEeasy next Full Face maszk S méretben. Továbbfejlesztett ergonómia, halk légáramlás és maximális szivárgásmentesség.</t>
  </si>
  <si>
    <t>lowenstein-joyce-easy-next-full-face-maszk-m</t>
  </si>
  <si>
    <t>Löwenstein JOYCEeasy next FF arcmaszk M | Alvásterápia</t>
  </si>
  <si>
    <t>Új generációs Löwenstein JOYCEeasy next Full Face maszk M méretben. Továbbfejlesztett ergonómia, halk légáramlás és maximális szivárgásmentesség.</t>
  </si>
  <si>
    <t>lowenstein-joyce-easy-next-full-face-maszk-l</t>
  </si>
  <si>
    <t>Löwenstein JOYCEeasy next FF arcmaszk L | Alvásterápia</t>
  </si>
  <si>
    <t>Új generációs Löwenstein JOYCEeasy next Full Face maszk L méretben. Továbbfejlesztett ergonómia, halk légáramlás és maximális szivárgásmentesség.</t>
  </si>
  <si>
    <t>lowenstein-joyce-one-full-face-maszk</t>
  </si>
  <si>
    <t>Löwenstein JOYCEone Full Face arcmaszk | Alvásterápia</t>
  </si>
  <si>
    <t>Univerzális méretű Löwenstein JOYCEone Full Face maszk. Intelligens, arcvonalhoz önállóan illeszkedő párna és SilkTec felület a kényelmes éjszakákért.</t>
  </si>
  <si>
    <t>lowenstein-lena-full-face-maszk-s</t>
  </si>
  <si>
    <t>Löwenstein LENA Full Face arcmaszk S méret | Alvásterápia</t>
  </si>
  <si>
    <t>Nagy nyomásokhoz tervezett Löwenstein LENA orr-száj maszk S méretben. Dupla peremű maszkpárna, oxigéncsatlakozó és páratlan stabilitás CPAP terápiához.</t>
  </si>
  <si>
    <t>lowenstein-lena-full-face-maszk-m</t>
  </si>
  <si>
    <t>Löwenstein LENA Full Face arcmaszk M méret | Alvásterápia</t>
  </si>
  <si>
    <t>Nagy nyomásokhoz tervezett Löwenstein LENA orr-száj maszk M méretben. Dupla peremű maszkpárna, oxigéncsatlakozó és páratlan stabilitás CPAP terápiához.</t>
  </si>
  <si>
    <t>lowenstein-lena-full-face-maszk-l</t>
  </si>
  <si>
    <t>Löwenstein LENA Full Face arcmaszk L méret | Alvásterápia</t>
  </si>
  <si>
    <t>Nagy nyomásokhoz tervezett Löwenstein LENA orr-száj maszk L méretben. Dupla peremű maszkpárna, oxigéncsatlakozó és páratlan stabilitás CPAP terápiához.</t>
  </si>
  <si>
    <t>philips-amara-full-face-maszk-s</t>
  </si>
  <si>
    <t>Philips Amara Full Face arcmaszk S méret | Alvásterápia</t>
  </si>
  <si>
    <t>Rendkívül egyszerű és könnyű Philips Amara szilikon orr-száj maszk S méretben. Mindössze 4 alkatrészből álló felépítés a gyors és egyszerű tisztításért.</t>
  </si>
  <si>
    <t>philips-amara-full-face-maszk-m</t>
  </si>
  <si>
    <t>Philips Amara Full Face arcmaszk M méret | Alvásterápia</t>
  </si>
  <si>
    <t>Rendkívül egyszerű és könnyű Philips Amara szilikon orr-száj maszk M méretben. Mindössze 4 alkatrészből álló felépítés a gyors és egyszerű tisztításért.</t>
  </si>
  <si>
    <t>philips-amara-full-face-maszk-l</t>
  </si>
  <si>
    <t>Philips Amara Full Face arcmaszk L méret | Alvásterápia</t>
  </si>
  <si>
    <t>Rendkívül egyszerű és könnyű Philips Amara szilikon orr-száj maszk L méretben. Mindössze 4 alkatrészből álló felépítés a gyors és egyszerű tisztításért.</t>
  </si>
  <si>
    <t>philips-amara-gel-full-face-maszk-s</t>
  </si>
  <si>
    <t>Philips Amara Gel arcmaszk S méret | Alvásterápia</t>
  </si>
  <si>
    <t>Prémium kényelmű Philips Amara Gel orr-száj maszk S méretben. Lágy zselés maszkpárna a minimális nyomáspontokért és az irritációmentes alvásterápiáért.</t>
  </si>
  <si>
    <t>philips-amara-gel-full-face-maszk-m</t>
  </si>
  <si>
    <t>Philips Amara Gel arcmaszk M méret | Alvásterápia</t>
  </si>
  <si>
    <t>Prémium kényelmű Philips Amara Gel orr-száj maszk M méretben. Lágy zselés maszkpárna a minimális nyomáspontokért és az irritációmentes alvásterápiáért.</t>
  </si>
  <si>
    <t>philips-amara-gel-full-face-maszk-l</t>
  </si>
  <si>
    <t>Philips Amara Gel arcmaszk L méret | Alvásterápia</t>
  </si>
  <si>
    <t>Prémium kényelmű Philips Amara Gel orr-száj maszk L méretben. Lágy zselés maszkpárna a minimális nyomáspontokért és az irritációmentes alvásterápiáért.</t>
  </si>
  <si>
    <t>philips-amara-view-full-face-maszk-s</t>
  </si>
  <si>
    <t>Philips Amara View orr alatti arcmaszk S | Alvásterápia</t>
  </si>
  <si>
    <t>Minimál dizájnú Philips Amara View orr-száj maszk S méretben. Orr alatti párna az orrnyereg tehermentesítéséért és a teljesen szabad látómezőért.</t>
  </si>
  <si>
    <t>philips-amara-view-full-face-maszk-m</t>
  </si>
  <si>
    <t>Philips Amara View orr alatti arcmaszk M | Alvásterápia</t>
  </si>
  <si>
    <t>Minimál dizájnú Philips Amara View orr-száj maszk M méretben. Orr alatti párna az orrnyereg tehermentesítéséért és a teljesen szabad látómezőért.</t>
  </si>
  <si>
    <t>philips-amara-view-full-face-maszk-l</t>
  </si>
  <si>
    <t>Philips Amara View orr alatti arcmaszk L | Alvásterápia</t>
  </si>
  <si>
    <t>Minimál dizájnú Philips Amara View orr-száj maszk L méretben. Orr alatti párna az orrnyereg tehermentesítéséért és a teljesen szabad látómezőért.</t>
  </si>
  <si>
    <t>philips-dreamwear-full-face-maszk-s</t>
  </si>
  <si>
    <t>Philips DreamWear Full Face arcmaszk S | Alvásterápia</t>
  </si>
  <si>
    <t>Kiemelkedő mozgásszabadságot nyújtó Philips DreamWear orr-száj maszk S méretben. Fejtetői csőcsatlakozás és nyomásmentes orr alatti szilikonpárna.</t>
  </si>
  <si>
    <t>philips-dreamwear-full-face-maszk-m</t>
  </si>
  <si>
    <t>Philips DreamWear Full Face arcmaszk M | Alvásterápia</t>
  </si>
  <si>
    <t>Kiemelkedő mozgásszabadságot nyújtó Philips DreamWear orr-száj maszk M méretben. Fejtetői csőcsatlakozás és nyomásmentes orr alatti szilikonpárna.</t>
  </si>
  <si>
    <t>philips-dreamwear-full-face-maszk-l</t>
  </si>
  <si>
    <t>Philips DreamWear Full Face arcmaszk L | Alvásterápia</t>
  </si>
  <si>
    <t>Kiemelkedő mozgásszabadságot nyújtó Philips DreamWear orr-száj maszk L méretben. Fejtetői csőcsatlakozás és nyomásmentes orr alatti szilikonpárna.</t>
  </si>
  <si>
    <t>philips-dreamwear-full-face-maszk-mw</t>
  </si>
  <si>
    <t>Philips DreamWear Full Face arcmaszk MW | Alvásterápia</t>
  </si>
  <si>
    <t>Szélesebb orrformához tervezett Philips DreamWear Full Face maszk MW méretben. Fejtetői csatlakozás és nyomásmentes orr alatti szilikonpárna.</t>
  </si>
  <si>
    <t>philips-dreamwisp-orrmaszk-s</t>
  </si>
  <si>
    <t>Philips DreamWisp orrmaszk S méret alkatrészek | Alvásterápia</t>
  </si>
  <si>
    <t>Kifutott Philips DreamWisp orrmaszk S méretben. Kompatibilis cserepárnák, fejpántok és utódmodellek raktárról meglévő terápiás felszereléséhez.</t>
  </si>
  <si>
    <t>philips-dreamwisp-orrmaszk-m</t>
  </si>
  <si>
    <t>Philips DreamWisp orrmaszk M méret alkatrészek | Alvásterápia</t>
  </si>
  <si>
    <t>Kifutott Philips DreamWisp orrmaszk M méretben. Kompatibilis cserepárnák, fejpántok és utódmodellek raktárról meglévő terápiás felszereléséhez.</t>
  </si>
  <si>
    <t>philips-dreamwisp-orrmaszk-l</t>
  </si>
  <si>
    <t>Philips DreamWisp orrmaszk L méret alkatrészek | Alvásterápia</t>
  </si>
  <si>
    <t>Kifutott Philips DreamWisp orrmaszk L méretben. Kompatibilis cserepárnák, fejpántok és utódmodellek raktárról meglévő terápiás felszereléséhez.</t>
  </si>
  <si>
    <t>philips-dreamwisp-orrmaszk-xl</t>
  </si>
  <si>
    <t>Philips DreamWisp orrmaszk XL alkatrészek | Alvásterápia</t>
  </si>
  <si>
    <t>Kifutott Philips DreamWisp orrmaszk XL méretben. Kompatibilis cserepárnák, fejpántok és utódmodellek raktárról meglévő terápiás felszereléséhez.</t>
  </si>
  <si>
    <t>philips-nuance-gel-orrmaszk</t>
  </si>
  <si>
    <t>Philips Nuance Gel orrillesztékes maszk | Alvásterápia</t>
  </si>
  <si>
    <t>Kifutott Philips Nuance Gel maszk. Rendeljen kompatibilis zselés párnákat, vagy fedezze fel a közvetlen utódot, a Philips Nuance Pro Gel modellt!</t>
  </si>
  <si>
    <t>philips-comfort-gel-maszk</t>
  </si>
  <si>
    <t>Philips Comfort Gel CPAP maszk alkatrészek | Alvásterápia</t>
  </si>
  <si>
    <t>Klasszikus Philips Comfort Gel kifutott CPAP maszk. Kompatibilis tartozékok, fejpántok és modern utódmodellek szakértői szerviztámogatással.</t>
  </si>
  <si>
    <t>lowenstein-prisma-szivacsszuro-2db</t>
  </si>
  <si>
    <t>Löwenstein Prisma szivacsszűrő 2 db/csomag | Alvásterápia</t>
  </si>
  <si>
    <t>Gyári mosható szivacsszűrő Löwenstein Prisma CPAP gépekhez (2 db/csomag). Alapvető motorvédelem a por ellen és megbízható légáramlás. Rendeljen pótszűrőt!</t>
  </si>
  <si>
    <t>lowenstein-prisma-pollenszuro-12db</t>
  </si>
  <si>
    <t>Löwenstein Prisma finom pollenszűrő 12 db | Alvásterápia</t>
  </si>
  <si>
    <t>Eredeti Löwenstein Prisma finom pollenszűrő 12 db-os csomagban. Nem mosható mikroszűrő allergiásoknak a pollenek és finomrészecskék hatékony kiszűrésére.</t>
  </si>
  <si>
    <t>lowenstein-somnobalance-szivacsszuro-2db</t>
  </si>
  <si>
    <t>Löwenstein SomnoBalance szivacsszűrő 2 db | Alvásterápia</t>
  </si>
  <si>
    <t>Gyári mosható szivacsszűrő a korábbi Löwenstein SomnoBalance készülékhez (2 db/csomag). Folyamatos alkatrészellátás és motorvédelem meglévő gépéhez.</t>
  </si>
  <si>
    <t>lowenstein-somnobalance-pollenszuro-12db</t>
  </si>
  <si>
    <t>Löwenstein SomnoBalance pollenszűrő 12 db | Alvásterápia</t>
  </si>
  <si>
    <t>Eredeti Löwenstein SomnoBalance finom pollenszűrő 12 db-os kiszerelésben. Nem mosható antiallergén betét a tiszta levegőért a kifutott készülékhez is.</t>
  </si>
  <si>
    <t>philips-dreamstation-1-szivacsszuro</t>
  </si>
  <si>
    <t>Philips DreamStation 1 mosható szivacsszűrő | Alvásterápia</t>
  </si>
  <si>
    <t>Gyári kék keretes, mosható szivacsszűrő Philips DreamStation 1 CPAP gépekhez. A készülék kötelező védelmi alkatrésze a por ellen és a hosszú élettartamért.</t>
  </si>
  <si>
    <t>philips-dreamstation-1-pollenszuro-6db</t>
  </si>
  <si>
    <t>Philips DreamStation 1 pollenszűrő 6 db | Alvásterápia</t>
  </si>
  <si>
    <t>Eredeti világoskék keretes finom pollenszűrő DreamStation 1 géphez (6 db/csomag). Eldobható mikroszűrő allergia és finom por ellen a tiszta légzésért.</t>
  </si>
  <si>
    <t>philips-dreamstation-2-szivacsszuro</t>
  </si>
  <si>
    <t>Philips DreamStation 2 mosható szivacsszűrő | Alvásterápia</t>
  </si>
  <si>
    <t>Gyári mosható szivacsszűrő az új generációs Philips DreamStation 2 CPAP készülékhez. Alapvető porszűrés a motor megbízható védelméért és csendes működéséért.</t>
  </si>
  <si>
    <t>philips-dreamstation-2-pollenszuro-6db</t>
  </si>
  <si>
    <t>Philips DreamStation 2 pollenszűrő 6 db | Alvásterápia</t>
  </si>
  <si>
    <t>Gyári finom pollenszűrő Philips DreamStation 2 készülékekhez (6 db/csomag). Eldobható antiallergén szűrőbetét a mikroszkopikus részecskék megállítására.</t>
  </si>
  <si>
    <t>philips-remstar-szivacsszuro-2db</t>
  </si>
  <si>
    <t>Philips REMstar / System One szivacsszűrő 2 db | Alvásterápia</t>
  </si>
  <si>
    <t>Tartós, mosható szürke szivacsszűrő klasszikus Philips REMstar és System One gépekhez (2 db/csomag). Megbízható gyári alkatrészellátás régebbi típusokhoz.</t>
  </si>
  <si>
    <t>philips-remstar-pollenszuro-6db</t>
  </si>
  <si>
    <t>Philips REMstar pollenszűrő 6 db/csomag | Alvásterápia</t>
  </si>
  <si>
    <t>Gyári fehér pollenszűrő korábbi generációs Philips REMstar készülékekhez (6 db/csomag). Finom mikroszűrés allergia ellen és a levegő tisztaságáért.</t>
  </si>
  <si>
    <t>aeonmed-as100a-pollenszuro-12db</t>
  </si>
  <si>
    <t>AeonMed AS100A pollenszűrő 12 db/csomag | Alvásterápia</t>
  </si>
  <si>
    <t>Eredeti fehér finom pollenszűrő AeonMed AS100A CPAP készülékekhez (12 db/csomag). Megbízható mikroszűrés az optimális légáramlásért és a tiszta levegőért.</t>
  </si>
  <si>
    <t>aeonmed-as100a-bakteriumszuro</t>
  </si>
  <si>
    <t>AeonMed AS100A baktériumszűrő egység | Alvásterápia</t>
  </si>
  <si>
    <t>Nagy hatékonyságú baktérium- és vírusszűrő AeonMed AS100A terápiás készülékekhez. Kétirányú védelem és steril környezet az éjszakai légzésbiztonságért.</t>
  </si>
  <si>
    <t>bakteriumszuro-cpap-bipap</t>
  </si>
  <si>
    <r>
      <t xml:space="preserve">• </t>
    </r>
    <r>
      <rPr>
        <b/>
        <sz val="11"/>
        <color theme="1"/>
        <rFont val="Calibri"/>
        <family val="2"/>
        <charset val="238"/>
        <scheme val="minor"/>
      </rPr>
      <t>Funkció:</t>
    </r>
    <r>
      <rPr>
        <sz val="11"/>
        <color theme="1"/>
        <rFont val="Calibri"/>
        <family val="2"/>
        <charset val="238"/>
        <scheme val="minor"/>
      </rPr>
      <t xml:space="preserve"> A fekete/szürke szivacs porszűrő a készülék kötelező védelmi alkatrésze. Megfogja a levegőben lévő durvább szemcséket, szöszöket és port, megóvva a CPAP gép motorját az idő előtti meghibásodástól és kopástól. • </t>
    </r>
    <r>
      <rPr>
        <b/>
        <sz val="11"/>
        <color theme="1"/>
        <rFont val="Calibri"/>
        <family val="2"/>
        <charset val="238"/>
        <scheme val="minor"/>
      </rPr>
      <t>Használat:</t>
    </r>
    <r>
      <rPr>
        <sz val="11"/>
        <color theme="1"/>
        <rFont val="Calibri"/>
        <family val="2"/>
        <charset val="238"/>
        <scheme val="minor"/>
      </rPr>
      <t xml:space="preserve"> A készülék hátoldalán található szűrőfészekbe kell behelyezni (opcionálisan kiegészíthető a finom fehér pollenszűrővel). • </t>
    </r>
    <r>
      <rPr>
        <b/>
        <sz val="11"/>
        <color theme="1"/>
        <rFont val="Calibri"/>
        <family val="2"/>
        <charset val="238"/>
        <scheme val="minor"/>
      </rPr>
      <t>Tisztítás:</t>
    </r>
    <r>
      <rPr>
        <sz val="11"/>
        <color theme="1"/>
        <rFont val="Calibri"/>
        <family val="2"/>
        <charset val="238"/>
        <scheme val="minor"/>
      </rPr>
      <t xml:space="preserve"> Mosható, többször használatos szűrő. Javasoljuk, hogy 1-2 hetente langyos, tiszta vagy enyhén szappanos vízzel öblítse át. </t>
    </r>
    <r>
      <rPr>
        <b/>
        <sz val="11"/>
        <color theme="1"/>
        <rFont val="Calibri"/>
        <family val="2"/>
        <charset val="238"/>
        <scheme val="minor"/>
      </rPr>
      <t>FONTOS:</t>
    </r>
    <r>
      <rPr>
        <sz val="11"/>
        <color theme="1"/>
        <rFont val="Calibri"/>
        <family val="2"/>
        <charset val="238"/>
        <scheme val="minor"/>
      </rPr>
      <t xml:space="preserve"> Csak teljesen száraz állapotban helyezze vissza a készülékbe! • </t>
    </r>
    <r>
      <rPr>
        <b/>
        <sz val="11"/>
        <color theme="1"/>
        <rFont val="Calibri"/>
        <family val="2"/>
        <charset val="238"/>
        <scheme val="minor"/>
      </rPr>
      <t>Csereperiódus:</t>
    </r>
    <r>
      <rPr>
        <sz val="11"/>
        <color theme="1"/>
        <rFont val="Calibri"/>
        <family val="2"/>
        <charset val="238"/>
        <scheme val="minor"/>
      </rPr>
      <t xml:space="preserve"> Higiéniai és műszaki megfontolásból 6 havonta (vagy az anyag foszlása, elöregedése esetén korábban) cseréje javasolt. • </t>
    </r>
    <r>
      <rPr>
        <b/>
        <sz val="11"/>
        <color theme="1"/>
        <rFont val="Calibri"/>
        <family val="2"/>
        <charset val="238"/>
        <scheme val="minor"/>
      </rPr>
      <t>Kompatibilitás:</t>
    </r>
    <r>
      <rPr>
        <sz val="11"/>
        <color theme="1"/>
        <rFont val="Calibri"/>
        <family val="2"/>
        <charset val="238"/>
        <scheme val="minor"/>
      </rPr>
      <t xml:space="preserve"> Kizárólag az AeonMed AS100 / AS100A automata CPAP készülékekkel kompatibilis.</t>
    </r>
  </si>
  <si>
    <t>aeonmed-as100a-szivacsszuro</t>
  </si>
  <si>
    <t>AeonMed AS100A mosható szivacsszűrő | Alvásterápia</t>
  </si>
  <si>
    <t>Gyári mosható szivacs porszűrő AeonMed AS100A CPAP készülékekhez. Alapvető motorvédelem a por ellen és megbízható légáramlás. Rendeljen pótszűrőt!</t>
  </si>
  <si>
    <t>Univerzális baktériumszűrő CPAP és BiPAP készülékekhez | Alvásterápia</t>
  </si>
  <si>
    <t>Univerzális baktérium- és vírusszűrő (kerek/ufó szűrő) CPAP és BiPAP készülékekhez. Kétirányú védelem a fertőzések ellen, maximális higiénia minden éjszaka. Rendelje meg!</t>
  </si>
  <si>
    <t>lowenstein-cara-orrmaszk-parna-xs</t>
  </si>
  <si>
    <t>Löwenstein CARA orrmaszk szilikonpárna XS | Alvásterápia</t>
  </si>
  <si>
    <t>Gyári puha szilikon maszkpárna (orrszilikon) Löwenstein CARA orrmaszkhoz, XS méretben. Biztos tömítés, irritációmentes illeszkedés és szivárgásmentesség.</t>
  </si>
  <si>
    <t>lowenstein-cara-orrmaszk-parna-sm</t>
  </si>
  <si>
    <t>Löwenstein CARA orrmaszk szilikonpárna S/M | Alvásterápia</t>
  </si>
  <si>
    <t>Gyári puha szilikon maszkpárna (orrszilikon) Löwenstein CARA orrmaszkhoz, S/M méretben. Biztos tömítés, irritációmentes illeszkedés és szivárgásmentesség.</t>
  </si>
  <si>
    <t>lowenstein-cara-orrmaszk-parna-ml</t>
  </si>
  <si>
    <t>Löwenstein CARA orrmaszk szilikonpárna M/L | Alvásterápia</t>
  </si>
  <si>
    <t>Gyári puha szilikon maszkpárna (orrszilikon) Löwenstein CARA orrmaszkhoz, M/L méretben. Biztos tömítés, irritációmentes illeszkedés és szivárgásmentesség.</t>
  </si>
  <si>
    <t>lowenstein-cara-orrmaszk-parna-xl</t>
  </si>
  <si>
    <t>Löwenstein CARA orrmaszk szilikonpárna XL | Alvásterápia</t>
  </si>
  <si>
    <t>Gyári puha szilikon maszkpárna (orrszilikon) Löwenstein CARA orrmaszkhoz, XL méretben. Biztos tömítés, irritációmentes illeszkedés és szivárgásmentesség.</t>
  </si>
  <si>
    <t>lowenstein-joyce-easy-orrmaszk-parna-s</t>
  </si>
  <si>
    <t>Löwenstein JOYCEeasy maszkpárna S méret | Alvásterápia</t>
  </si>
  <si>
    <t>Eredeti cserélhető orrszilikon Löwenstein JOYCEeasy orrmaszkhoz, S méretben. Bőrbarát SilkTec bevonat a tökéletes tapadásért és nyomásmentes éjszakákért.</t>
  </si>
  <si>
    <t>lowenstein-joyce-easy-orrmaszk-parna-m</t>
  </si>
  <si>
    <t>Löwenstein JOYCEeasy maszkpárna M méret | Alvásterápia</t>
  </si>
  <si>
    <t>Eredeti cserélhető orrszilikon Löwenstein JOYCEeasy orrmaszkhoz, M méretben. Bőrbarát SilkTec bevonat a tökéletes tapadásért és nyomásmentes éjszakákért.</t>
  </si>
  <si>
    <t>lowenstein-joyce-easy-orrmaszk-parna-l</t>
  </si>
  <si>
    <t>Löwenstein JOYCEeasy maszkpárna L méret | Alvásterápia</t>
  </si>
  <si>
    <t>Eredeti cserélhető orrszilikon Löwenstein JOYCEeasy orrmaszkhoz, L méretben. Bőrbarát SilkTec bevonat a tökéletes tapadásért és nyomásmentes éjszakákért.</t>
  </si>
  <si>
    <t>lowenstein-joyce-one-maszkparna</t>
  </si>
  <si>
    <t>Löwenstein JOYCEone univerzális maszkpárna | Alvásterápia</t>
  </si>
  <si>
    <t>Gyári univerzális cserepárna Löwenstein JOYCEone orrmaszkhoz. Automatikusan arcvonalhoz illeszkedő kialakítás és selymes SilkTec bevonat a tartós kényelemért.</t>
  </si>
  <si>
    <t>lowenstein-julia-orrmaszk-parna-s</t>
  </si>
  <si>
    <t>Löwenstein JULIA orrmaszk szilikonpárna S | Alvásterápia</t>
  </si>
  <si>
    <t>Gyári csere orrszilikon új generációs Löwenstein JULIA orrmaszkhoz, S méretben. Finom tapintású anatómiai párna a szivárgásmentes és csendes alvásterápiáért.</t>
  </si>
  <si>
    <t>lowenstein-julia-orrmaszk-parna-m</t>
  </si>
  <si>
    <t>Löwenstein JULIA orrmaszk szilikonpárna M | Alvásterápia</t>
  </si>
  <si>
    <t>Gyári csere orrszilikon új generációs Löwenstein JULIA orrmaszkhoz, M méretben. Finom tapintású anatómiai párna a szivárgásmentes és csendes alvásterápiáért.</t>
  </si>
  <si>
    <t>lowenstein-julia-orrmaszk-parna-l</t>
  </si>
  <si>
    <t>Löwenstein JULIA orrmaszk szilikonpárna L | Alvásterápia</t>
  </si>
  <si>
    <t>Gyári csere orrszilikon új generációs Löwenstein JULIA orrmaszkhoz, L méretben. Finom tapintású anatómiai párna a szivárgásmentes és csendes alvásterápiáért.</t>
  </si>
  <si>
    <t>philips-dreamwear-orr-alatti-parna-s</t>
  </si>
  <si>
    <t>Philips DreamWear orr alatti maszkpárna S | Alvásterápia</t>
  </si>
  <si>
    <t>Eredeti Philips DreamWear orr alatti szilikon párna S méretben. Megszünteti az orrnyereg nyomását, szabad kilátást és természetes mozgásszabadságot nyújt.</t>
  </si>
  <si>
    <t>philips-dreamwear-orr-alatti-parna-m</t>
  </si>
  <si>
    <t>Philips DreamWear orr alatti maszkpárna M | Alvásterápia</t>
  </si>
  <si>
    <t>Eredeti Philips DreamWear orr alatti szilikon párna M méretben. Megszünteti az orrnyereg nyomását, szabad kilátást és természetes mozgásszabadságot nyújt.</t>
  </si>
  <si>
    <t>philips-dreamwear-orr-alatti-parna-l</t>
  </si>
  <si>
    <t>Philips DreamWear orr alatti maszkpárna L | Alvásterápia</t>
  </si>
  <si>
    <t>Eredeti Philips DreamWear orr alatti szilikon párna L méretben. Megszünteti az orrnyereg nyomását, szabad kilátást és természetes mozgásszabadságot nyújt.</t>
  </si>
  <si>
    <t>philips-dreamwear-orr-alatti-parna-mw</t>
  </si>
  <si>
    <t>Philips DreamWear orr alatti maszkpárna MW | Alvásterápia</t>
  </si>
  <si>
    <t>Közepesen széles (MW) Philips DreamWear orr alatti szilikon párna. Kényelmes illeszkedés az orr alatt, nyomáspontok és bőrirritáció nélkül.</t>
  </si>
  <si>
    <t>philips-dreamwear-pillows-parna-s</t>
  </si>
  <si>
    <t>Philips DreamWear orrillesztékes párna S | Alvásterápia</t>
  </si>
  <si>
    <t>Gyári szilikon kúpokkal ellátott Philips DreamWear párna S méretben. Közvetlenül az orrnyíláshoz illeszkedve garantál stabil tartást és szivárgásmentességet.</t>
  </si>
  <si>
    <t>philips-dreamwear-pillows-parna-m</t>
  </si>
  <si>
    <t>Philips DreamWear orrillesztékes párna M | Alvásterápia</t>
  </si>
  <si>
    <t>Gyári szilikon kúpokkal ellátott Philips DreamWear párna M méretben. Közvetlenül az orrnyíláshoz illeszkedve garantál stabil tartást és szivárgásmentességet.</t>
  </si>
  <si>
    <t>philips-dreamwear-pillows-parna-l</t>
  </si>
  <si>
    <t>Philips DreamWear orrillesztékes párna L | Alvásterápia</t>
  </si>
  <si>
    <t>Gyári szilikon kúpokkal ellátott Philips DreamWear párna L méretben. Közvetlenül az orrnyíláshoz illeszkedve garantál stabil tartást és szivárgásmentességet.</t>
  </si>
  <si>
    <t>philips-nuance-pro-zseles-parna-s</t>
  </si>
  <si>
    <t>Philips Nuance Pro gél maszkpárna S méret | Alvásterápia</t>
  </si>
  <si>
    <t>Eredeti zselés párna Philips Nuance és Nuance Pro orrillesztékes maszkhoz, S méretben. Lágy gélgyűrűk a páratlan kényelemért és a biztos tömítésért.</t>
  </si>
  <si>
    <t>philips-nuance-pro-zseles-parna-m</t>
  </si>
  <si>
    <t>Philips Nuance Pro gél maszkpárna M méret | Alvásterápia</t>
  </si>
  <si>
    <t>Eredeti zselés párna Philips Nuance és Nuance Pro orrillesztékes maszkhoz, M méretben. Lágy gélgyűrűk a páratlan kényelemért és a biztos tömítésért.</t>
  </si>
  <si>
    <t>philips-nuance-pro-zseles-parna-l</t>
  </si>
  <si>
    <t>Philips Nuance Pro gél maszkpárna L méret | Alvásterápia</t>
  </si>
  <si>
    <t>Eredeti zselés párna Philips Nuance és Nuance Pro orrillesztékes maszkhoz, L méretben. Lágy gélgyűrűk a páratlan kényelemért és a biztos tömítésért.</t>
  </si>
  <si>
    <t>philips-pico-orrmaszk-parna-sm</t>
  </si>
  <si>
    <t>Philips Pico orrmaszk szilikonpárna S/M | Alvásterápia</t>
  </si>
  <si>
    <t>Gyári kétrétegű szilikon cserepárna Philips Pico orrmaszkhoz S/M méretben. Rendkívül könnyű, minimál kialakítás a tiszta kilátásért és biztos tapadásért.</t>
  </si>
  <si>
    <t>philips-pico-orrmaszk-parna-l</t>
  </si>
  <si>
    <t>Philips Pico orrmaszk szilikonpárna L | Alvásterápia</t>
  </si>
  <si>
    <t>Gyári kétrétegű szilikon cserepárna Philips Pico orrmaszkhoz L méretben. Rendkívül könnyű, minimál kialakítás a tiszta kilátásért és biztos tapadásért.</t>
  </si>
  <si>
    <t>philips-pico-orrmaszk-parna-xl</t>
  </si>
  <si>
    <t>Philips Pico orrmaszk szilikonpárna XL | Alvásterápia</t>
  </si>
  <si>
    <t>Gyári kétrétegű szilikon cserepárna Philips Pico orrmaszkhoz XL méretben. Rendkívül könnyű, minimál kialakítás a tiszta kilátásért és biztos tapadásért.</t>
  </si>
  <si>
    <t>philips-wisp-orrmaszk-parna-p</t>
  </si>
  <si>
    <t>Philips Wisp orrmaszk szilikonpárna P méret | Alvásterápia</t>
  </si>
  <si>
    <t>Eredeti cserélhető szilikon orrpárna Philips Wisp maszkhoz, Petite (P) méretben. Puha perem, minimális érintkezési felület és kiváló szivárgásmentesség.</t>
  </si>
  <si>
    <t>philips-wisp-orrmaszk-parna-sm</t>
  </si>
  <si>
    <t>Philips Wisp orrmaszk szilikonpárna S/M | Alvásterápia</t>
  </si>
  <si>
    <t>Eredeti cserélhető szilikon orrpárna Philips Wisp maszkhoz, S/M méretben. Puha perem, minimális érintkezési felület és kiváló szivárgásmentesség.</t>
  </si>
  <si>
    <t>philips-wisp-orrmaszk-parna-l</t>
  </si>
  <si>
    <t>Philips Wisp orrmaszk szilikonpárna L méret | Alvásterápia</t>
  </si>
  <si>
    <t>Eredeti cserélhető szilikon orrpárna Philips Wisp maszkhoz, L méretben. Puha perem, minimális érintkezési felület és kiváló szivárgásmentesség.</t>
  </si>
  <si>
    <t>philips-wisp-orrmaszk-parna-xl</t>
  </si>
  <si>
    <t>Philips Wisp orrmaszk szilikonpárna XL méret | Alvásterápia</t>
  </si>
  <si>
    <t>Eredeti cserélhető szilikon orrpárna Philips Wisp maszkhoz, XL méretben. Puha perem, minimális érintkezési felület és kiváló szivárgásmentesség.</t>
  </si>
  <si>
    <t>lowenstein-joyce-silkgel-maszkparna-s</t>
  </si>
  <si>
    <t>Löwenstein Joyce SilkGel maszkpárna S | Alvásterápia</t>
  </si>
  <si>
    <t>Kifutott Löwenstein Joyce SilkGel zselés cserepárna S méretben. Fedezze fel kompatibilis alternatíváinkat vagy a legújabb orrmaszk típusokat!</t>
  </si>
  <si>
    <t>philips-dreamwear-gel-maszkparna-s</t>
  </si>
  <si>
    <t>Philips DreamWear Gel maszkpárna S alkatrész | Alvásterápia</t>
  </si>
  <si>
    <t>Kifutott Philips DreamWear gél-párna S méretben. Válasszon helyette kompatibilis DreamWear szilikon vagy orrillesztékes párnát készletről!</t>
  </si>
  <si>
    <t>philips-dreamwear-gel-maszkparna-m</t>
  </si>
  <si>
    <t>Philips DreamWear Gel maszkpárna M alkatrész | Alvásterápia</t>
  </si>
  <si>
    <t>Kifutott Philips DreamWear gél-párna M méretben. Válasszon helyette kompatibilis DreamWear szilikon vagy orrillesztékes párnát készletről!</t>
  </si>
  <si>
    <t>philips-dreamwear-gel-maszkparna-l</t>
  </si>
  <si>
    <t>Philips DreamWear Gel maszkpárna L alkatrész | Alvásterápia</t>
  </si>
  <si>
    <t>Kifutott Philips DreamWear gél-párna L méretben. Válasszon helyette kompatibilis DreamWear szilikon vagy orrillesztékes párnát készletről!</t>
  </si>
  <si>
    <t>lowenstein-cara-full-face-maszkparna-s</t>
  </si>
  <si>
    <t>Löwenstein CARA Full maszkpárna S méret | Alvásterápia</t>
  </si>
  <si>
    <t>Gyári szilikon maszkpárna (szilikonbetét) Löwenstein CARA Full Face arcmaszkhoz, S méretben. Puha, bőrbarát tapintás és tökéletes szivárgásmentesség.</t>
  </si>
  <si>
    <t>lowenstein-cara-full-face-maszkparna-m</t>
  </si>
  <si>
    <t>Löwenstein CARA Full maszkpárna M méret | Alvásterápia</t>
  </si>
  <si>
    <t>Gyári szilikon maszkpárna (szilikonbetét) Löwenstein CARA Full Face arcmaszkhoz, M méretben. Puha, bőrbarát tapintás és tökéletes szivárgásmentesség.</t>
  </si>
  <si>
    <t>lowenstein-cara-full-face-maszkparna-l</t>
  </si>
  <si>
    <t>Löwenstein CARA Full maszkpárna L méret | Alvásterápia</t>
  </si>
  <si>
    <t>Gyári szilikon maszkpárna (szilikonbetét) Löwenstein CARA Full Face arcmaszkhoz, L méretben. Puha, bőrbarát tapintás és tökéletes szivárgásmentesség.</t>
  </si>
  <si>
    <t>lowenstein-cara-full-face-maszkparna-xl</t>
  </si>
  <si>
    <t>Löwenstein CARA Full maszkpárna XL méret | Alvásterápia</t>
  </si>
  <si>
    <t>Gyári szilikon maszkpárna (szilikonbetét) Löwenstein CARA Full Face arcmaszkhoz, XL méretben. Puha, bőrbarát tapintás és tökéletes szivárgásmentesség.</t>
  </si>
  <si>
    <t>lowenstein-joyce-easy-full-maszkparna-s</t>
  </si>
  <si>
    <t>Löwenstein JOYCEeasy Full maszkpárna S | Alvásterápia</t>
  </si>
  <si>
    <t>Eredeti szilikon arcmaszk-párna Löwenstein JOYCEeasy Full Face maszkhoz, S méretben. Bőrbarát SilkTec bevonat a stabil és nyomásmentes illeszkedésért.</t>
  </si>
  <si>
    <t>lowenstein-joyce-easy-full-maszkparna-m</t>
  </si>
  <si>
    <t>Löwenstein JOYCEeasy Full maszkpárna M | Alvásterápia</t>
  </si>
  <si>
    <t>Eredeti szilikon arcmaszk-párna Löwenstein JOYCEeasy Full Face maszkhoz, M méretben. Bőrbarát SilkTec bevonat a stabil és nyomásmentes illeszkedésért.</t>
  </si>
  <si>
    <t>lowenstein-joyce-easy-full-maszkparna-l</t>
  </si>
  <si>
    <t>Löwenstein JOYCEeasy Full maszkpárna L | Alvásterápia</t>
  </si>
  <si>
    <t>Eredeti szilikon arcmaszk-párna Löwenstein JOYCEeasy Full Face maszkhoz, L méretben. Bőrbarát SilkTec bevonat a stabil és nyomásmentes illeszkedésért.</t>
  </si>
  <si>
    <t>lowenstein-joyce-easy-next-full-maszkparna-s</t>
  </si>
  <si>
    <t>Löwenstein JOYCEeasy next FF maszkpárna S | Alvásterápia</t>
  </si>
  <si>
    <t>Gyári cserélhető szilikonpárna Löwenstein JOYCEeasy next Full Face maszkhoz, S méretben. Korszerű ergonómia a csendes és szivárgásmentes terápiáért.</t>
  </si>
  <si>
    <t>lowenstein-joyce-easy-next-full-maszkparna-m</t>
  </si>
  <si>
    <t>Löwenstein JOYCEeasy next FF maszkpárna M | Alvásterápia</t>
  </si>
  <si>
    <t>Gyári cserélhető szilikonpárna Löwenstein JOYCEeasy next Full Face maszkhoz, M méretben. Korszerű ergonómia a csendes és szivárgásmentes terápiáért.</t>
  </si>
  <si>
    <t>lowenstein-joyce-easy-next-full-maszkparna-l</t>
  </si>
  <si>
    <t>Löwenstein JOYCEeasy next FF maszkpárna L | Alvásterápia</t>
  </si>
  <si>
    <t>Gyári cserélhető szilikonpárna Löwenstein JOYCEeasy next Full Face maszkhoz, L méretben. Korszerű ergonómia a csendes és szivárgásmentes terápiáért.</t>
  </si>
  <si>
    <t>lowenstein-joyce-one-full-maszkparna</t>
  </si>
  <si>
    <t>Löwenstein JOYCEone Full univerzális maszkpárna | Alvásterápia</t>
  </si>
  <si>
    <t>Eredeti univerzális cserepárna Löwenstein JOYCEone Full Face arcmaszkhoz. Arcformához idomuló kialakítás SilkTec felülettel a gondtalan éjszakai kényelemért.</t>
  </si>
  <si>
    <t>lowenstein-lena-full-face-maszkparna-s</t>
  </si>
  <si>
    <t>Löwenstein LENA Full Face maszkpárna S méret | Alvásterápia</t>
  </si>
  <si>
    <t>Gyári dupla ajkú szilikon maszkpárna Löwenstein LENA Full Face maszkhoz, S méretben. Kifejezetten magas terápiás nyomáshoz tervezett biztos tömítés.</t>
  </si>
  <si>
    <t>lowenstein-lena-full-face-maszkparna-m</t>
  </si>
  <si>
    <t>Löwenstein LENA Full Face maszkpárna M méret | Alvásterápia</t>
  </si>
  <si>
    <t>Gyári dupla ajkú szilikon maszkpárna Löwenstein LENA Full Face maszkhoz, M méretben. Kifejezetten magas terápiás nyomáshoz tervezett biztos tömítés.</t>
  </si>
  <si>
    <t>lowenstein-lena-full-face-maszkparna-l</t>
  </si>
  <si>
    <t>Löwenstein LENA Full Face maszkpárna L méret | Alvásterápia</t>
  </si>
  <si>
    <t>Gyári dupla ajkú szilikon maszkpárna Löwenstein LENA Full Face maszkhoz, L méretben. Kifejezetten magas terápiás nyomáshoz tervezett biztos tömítés.</t>
  </si>
  <si>
    <t>philips-amara-full-face-maszkparna-s</t>
  </si>
  <si>
    <t>Philips Amara Full Face szilikonpárna S | Alvásterápia</t>
  </si>
  <si>
    <t>Gyári cserélhető szilikonpárna Philips Amara orr-száj maszkhoz, S méretben. Könnyen tisztítható, precízen záró szilikonbetét a stabil alvásterápiáért.</t>
  </si>
  <si>
    <t>philips-amara-full-face-maszkparna-m</t>
  </si>
  <si>
    <t>Philips Amara Full Face szilikonpárna M | Alvásterápia</t>
  </si>
  <si>
    <t>Gyári cserélhető szilikonpárna Philips Amara orr-száj maszkhoz, M méretben. Könnyen tisztítható, precízen záró szilikonbetét a stabil alvásterápiáért.</t>
  </si>
  <si>
    <t>philips-amara-full-face-maszkparna-l</t>
  </si>
  <si>
    <t>Philips Amara Full Face szilikonpárna L | Alvásterápia</t>
  </si>
  <si>
    <t>Gyári cserélhető szilikonpárna Philips Amara orr-száj maszkhoz, L méretben. Könnyen tisztítható, precízen záró szilikonbetét a stabil alvásterápiáért.</t>
  </si>
  <si>
    <t>philips-amara-gel-maszkparna-p</t>
  </si>
  <si>
    <t>Philips Amara Gel maszkpárna Petite (P) | Alvásterápia</t>
  </si>
  <si>
    <t>Eredeti gél-technológiás cserepárna Philips Amara Gel maszkhoz, Petite (P) méretben. Kivételes kényelem, lágy illeszkedés és hatékony arcbőrvédelem.</t>
  </si>
  <si>
    <t>philips-amara-gel-maszkparna-s</t>
  </si>
  <si>
    <t>Philips Amara Gel maszkpárna S méret | Alvásterápia</t>
  </si>
  <si>
    <t>Eredeti gél-technológiás cserepárna Philips Amara Gel maszkhoz, S méretben. Kivételes kényelem, lágy illeszkedés és hatékony arcbőrvédelem.</t>
  </si>
  <si>
    <t>philips-amara-gel-maszkparna-m</t>
  </si>
  <si>
    <t>Philips Amara Gel maszkpárna M méret | Alvásterápia</t>
  </si>
  <si>
    <t>Eredeti gél-technológiás cserepárna Philips Amara Gel maszkhoz, M méretben. Kivételes kényelem, lágy illeszkedés és hatékony arcbőrvédelem.</t>
  </si>
  <si>
    <t>philips-amara-gel-maszkparna-l</t>
  </si>
  <si>
    <t>Philips Amara Gel maszkpárna L méret | Alvásterápia</t>
  </si>
  <si>
    <t>Eredeti gél-technológiás cserepárna Philips Amara Gel maszkhoz, L méretben. Kivételes kényelem, lágy illeszkedés és hatékony arcbőrvédelem.</t>
  </si>
  <si>
    <t>philips-amara-view-maszkparna-s</t>
  </si>
  <si>
    <t>Philips Amara View orr alatti párna S | Alvásterápia</t>
  </si>
  <si>
    <t>Eredeti orr alatti cserepárna Philips Amara View arcmaszkhoz, S méretben. Megszünteti a piros nyomokat az orrnyergen és szabad látómezőt biztosít.</t>
  </si>
  <si>
    <t>philips-amara-view-maszkparna-m</t>
  </si>
  <si>
    <t>Philips Amara View orr alatti párna M | Alvásterápia</t>
  </si>
  <si>
    <t>Eredeti orr alatti cserepárna Philips Amara View arcmaszkhoz, M méretben. Megszünteti a piros nyomokat az orrnyergen és szabad látómezőt biztosít.</t>
  </si>
  <si>
    <t>philips-amara-view-maszkparna-l</t>
  </si>
  <si>
    <t>Philips Amara View orr alatti párna L | Alvásterápia</t>
  </si>
  <si>
    <t>Eredeti orr alatti cserepárna Philips Amara View arcmaszkhoz, L méretben. Megszünteti a piros nyomokat az orrnyergen és szabad látómezőt biztosít.</t>
  </si>
  <si>
    <t>philips-dreamwear-full-face-parna-s</t>
  </si>
  <si>
    <t>Philips DreamWear Full maszkpárna S méret | Alvásterápia</t>
  </si>
  <si>
    <t>Gyári szilikon orr-száj cserepárna Philips DreamWear Full Face maszkhoz, S méretben. Orr alatti illeszkedés a maximális éjszakai mozgásszabadságért.</t>
  </si>
  <si>
    <t>philips-dreamwear-full-face-parna-m</t>
  </si>
  <si>
    <t>Philips DreamWear Full maszkpárna M méret | Alvásterápia</t>
  </si>
  <si>
    <t>Gyári szilikon orr-száj cserepárna Philips DreamWear Full Face maszkhoz, M méretben. Orr alatti illeszkedés a maximális éjszakai mozgásszabadságért.</t>
  </si>
  <si>
    <t>philips-dreamwear-full-face-parna-l</t>
  </si>
  <si>
    <t>Philips DreamWear Full maszkpárna L méret | Alvásterápia</t>
  </si>
  <si>
    <t>Gyári szilikon orr-száj cserepárna Philips DreamWear Full Face maszkhoz, L méretben. Orr alatti illeszkedés a maximális éjszakai mozgásszabadságért.</t>
  </si>
  <si>
    <t>philips-dreamwear-full-face-parna-mw</t>
  </si>
  <si>
    <t>Philips DreamWear Full maszkpárna MW | Alvásterápia</t>
  </si>
  <si>
    <t>Gyári szilikon orr-száj cserepárna Philips DreamWear Full Face maszkhoz, MW (közepesen széles) méretben. Nyomásmentes, irritációmentes illeszkedés.</t>
  </si>
  <si>
    <t>lowenstein-joyce-homloktamasz-szilikon</t>
  </si>
  <si>
    <t>Löwenstein JOYCE homloktámasz szilikon | Alvásterápia</t>
  </si>
  <si>
    <t>Gyári bőrbarát szilikon homloktámasz párna Löwenstein JOYCEone és JOYCEeasy CPAP maszkokhoz. Nyomásmentes illeszkedés és prémium kényelem éjszaka.</t>
  </si>
  <si>
    <t>lowenstein-cara-full-face-fejpant</t>
  </si>
  <si>
    <t>Löwenstein CARA Full Face fejpánt | Alvásterápia</t>
  </si>
  <si>
    <t>Eredeti gyári rögzítő fejpánt Löwenstein CARA Full Face orr-száj maszkhoz. Légáteresztő és formatartó szövet a biztos, szivárgásmentes tartásért.</t>
  </si>
  <si>
    <t>lowenstein-joyce-easy-full-face-fejpant</t>
  </si>
  <si>
    <t>Löwenstein JOYCEeasy Full Face fejpánt | Alvásterápia</t>
  </si>
  <si>
    <t>Tartós és rugalmas gyári fejpánt Löwenstein JOYCEeasy Full Face arcmaszkhoz. Stabil négypontos rögzítés, könnyen beállítható praktikus tépőzárak.</t>
  </si>
  <si>
    <t>lowenstein-joyce-easy-next-full-face-fejpant</t>
  </si>
  <si>
    <t>Löwenstein JOYCEeasy next FF fejpánt | Alvásterápia</t>
  </si>
  <si>
    <t>Ergonomikus tartalék fejpánt Löwenstein JOYCEeasy next Full Face maszkhoz. Megerősített pántok a halk és stabil terápia érdekében nyomás alatt is.</t>
  </si>
  <si>
    <t>lowenstein-lena-full-face-fejpant</t>
  </si>
  <si>
    <t>Löwenstein LENA Full Face fejpánt | Alvásterápia</t>
  </si>
  <si>
    <t>Gyári rögzítő fejpánt Löwenstein LENA Full Face arcmaszkhoz. Kifejezetten magas nyomású terápiához kifejlesztett karcsú, mégis stabil kialakítás.</t>
  </si>
  <si>
    <t>philips-amara-full-face-fejpant-standard</t>
  </si>
  <si>
    <t>Philips Amara Full Face fejpánt standard | Alvásterápia</t>
  </si>
  <si>
    <t>Gyári standard fejpánt Philips Amara és Amara Gel arcmaszkokhoz. Megbízható tartás, egyenletes nyomáseloszlás és kényelmes alvási pozíció.</t>
  </si>
  <si>
    <t>philips-amara-view-fejpant-standard</t>
  </si>
  <si>
    <t>Philips Amara View fejpánt standard méret | Alvásterápia</t>
  </si>
  <si>
    <t>Speciális öt pontos gyári fejpánt Philips Amara View arcmaszkhoz. Szabadon hagyja az orrnyerget és stabilan pozicionálja a maszkot alvás közben.</t>
  </si>
  <si>
    <t>philips-dreamwear-full-face-fejpant</t>
  </si>
  <si>
    <t>Philips DreamWear Full Face fejpánt | Alvásterápia</t>
  </si>
  <si>
    <t>Gyári Philips DreamWear Full Face fejpánt mágneses alsó pántrögzítéssel. Maximális kényelem, stabil illeszkedés és teljes mozgásszabadság éjszaka.</t>
  </si>
  <si>
    <t>lowenstein-cara-fejpant-xs</t>
  </si>
  <si>
    <t>Löwenstein CARA fejpánt XS méret | Alvásterápia</t>
  </si>
  <si>
    <t>Eredeti gyári rögzítő fejpánt Löwenstein CARA CPAP orrmaszkhoz, XS méretben. Puha, lélegző és rugalmas anyag a stabil, elmozdulásmentes illeszkedésért.</t>
  </si>
  <si>
    <t>lowenstein-cara-fejpant-standard</t>
  </si>
  <si>
    <t>Löwenstein CARA fejpánt standard méret | Alvásterápia</t>
  </si>
  <si>
    <t>Gyári szabványos fejpánt Löwenstein CARA CPAP orrmaszkhoz. Tartós, rugalmas textil és kényelmes tépőzáras rögzítés a szivárgásmentes alvásterápiáért.</t>
  </si>
  <si>
    <t>lowenstein-joyce-easy-orrmaszk-fejpant</t>
  </si>
  <si>
    <t>Löwenstein JOYCEeasy orrmaszk fejpánt | Alvásterápia</t>
  </si>
  <si>
    <t>Eredeti gyári csere fejpánt Löwenstein JOYCEeasy orrmaszkokhoz. Kényelmes és stabil fejrögzítés, kopásálló tépőzárak a nyugodt éjszakai alvásért.</t>
  </si>
  <si>
    <t>lowenstein-joyce-one-fejpant</t>
  </si>
  <si>
    <t>Löwenstein JOYCEone univerzális fejpánt | Alvásterápia</t>
  </si>
  <si>
    <t>Gyári tartalék fejpánt Löwenstein JOYCEone maszkokhoz. Intelligens szabás, amely szinte minden fejformához egyenletesen és kényelmesen idomul.</t>
  </si>
  <si>
    <t>lowenstein-joyce-cara-fejpant-xl</t>
  </si>
  <si>
    <t>Löwenstein Joyce / CARA fejpánt XL méret | Alvásterápia</t>
  </si>
  <si>
    <t>Extra méretű gyári Löwenstein fejpánt CARA és JOYCE orrmaszkokhoz XL méretben. Nagyobb fejméret esetén is nyomásmentes és stabil tartást nyújt.</t>
  </si>
  <si>
    <t>philips-dreamwear-fejpant-orrmaszkhoz</t>
  </si>
  <si>
    <t>Philips DreamWear fejpánt orrmaszkhoz | Alvásterápia</t>
  </si>
  <si>
    <t>Új típusú gyári Philips DreamWear textil fejpánt orr alatti és gélpárnás maszkokhoz. Csúszásmentes kialakítás és könnyű állíthatóság a szabad alvásért.</t>
  </si>
  <si>
    <t>philips-nuance-fejpant</t>
  </si>
  <si>
    <t>Philips Nuance fejpánt (kifutott típus) | Alvásterápia</t>
  </si>
  <si>
    <t>Kifutott Philips Nuance maszkhoz való fejpánt. Kérjen szakértői segítséget kompatibilis cserealkatrész vagy Nuance Pro utódmodell választásához!</t>
  </si>
  <si>
    <t>philips-nuance-pro-fejpant</t>
  </si>
  <si>
    <t>Philips Nuance Pro gélpárnás fejpánt | Alvásterápia</t>
  </si>
  <si>
    <t>Gyári csere fejpánt beépített zselés párnákkal Philips Nuance Pro maszkhoz. Maximális kényelem és stabilitás a nyomáspontok minimalizálásával.</t>
  </si>
  <si>
    <t>philips-nuance-pro-zseles-vaz</t>
  </si>
  <si>
    <t>Philips Nuance Pro szilikon gél vázkeret | Alvásterápia</t>
  </si>
  <si>
    <t>Eredeti rugalmas vázkeret beépített gélpárnákkal Philips Nuance Pro orrillesztékes maszkhoz. Biztos tartást és irritációmentes felfekvést garantál.</t>
  </si>
  <si>
    <t>philips-pico-orrmaszk-fejpant</t>
  </si>
  <si>
    <t>Philips Pico orrmaszk gyári fejpánt | Alvásterápia</t>
  </si>
  <si>
    <t>Könnyű és rendkívül stabil gyári tartalék fejpánt Philips Pico orrmaszkhoz. Szabványos méret, gyorscsatlakozós kialakítás a könnyű levételért.</t>
  </si>
  <si>
    <t>philips-wisp-orrmaszk-fejpant-standard</t>
  </si>
  <si>
    <t>Philips Wisp orrmaszk fejpánt standard | Alvásterápia</t>
  </si>
  <si>
    <t>Gyári szabványos fejpánt Philips Wisp orrmaszkhoz. Rugalmas, jól szellőző anyag és stabil négypontos tartás a homloktámasz nélküli szabad kilátásért.</t>
  </si>
  <si>
    <t>philips-wisp-orrmaszk-fejpant-s</t>
  </si>
  <si>
    <t>Philips Wisp orrmaszk fejpánt S méret | Alvásterápia</t>
  </si>
  <si>
    <t>Kisebb fejméretre tervezett gyári Philips Wisp fejpánt S méretben. Elmozdulásmentes illeszkedés, puha szegélyek és kényelmes éjszakai viselet.</t>
  </si>
  <si>
    <t>philips-premium-univerzalis-fejpant</t>
  </si>
  <si>
    <t>Philips prémium univerzális CPAP fejpánt | Alvásterápia</t>
  </si>
  <si>
    <t>Megerősített anyagú, univerzális Philips CPAP fejpánt. Kiváló tartósság, extra stabilitás és széles körű kompatibilitás a legtöbb négypontos orrmaszkhoz.</t>
  </si>
  <si>
    <t>lowenstein-julia-fejpant-standard</t>
  </si>
  <si>
    <t>Löwenstein JULIA fejpánt standard méret | Alvásterápia</t>
  </si>
  <si>
    <t>Gyári standard méretű rögzítő fejpánt Löwenstein JULIA orrmaszkhoz. Puha szegélyek, stabil négypontos tartás és kényelmes alvás éjszaka. Rendelje meg!</t>
  </si>
  <si>
    <t>lowenstein-julia-fejpant-small</t>
  </si>
  <si>
    <t>Löwenstein JULIA fejpánt Small (S) méret | Alvásterápia</t>
  </si>
  <si>
    <t>Kisebb fejméretre tervezett gyári Löwenstein JULIA fejpánt Small (S) méretben. Elmozdulásmentes illeszkedés és puha, lélegző textil a zavartalan alvásért.</t>
  </si>
  <si>
    <t>philips-premium-cpap-allpant</t>
  </si>
  <si>
    <t>Philips prémium CPAP állpánt alkatrészek | Alvásterápia</t>
  </si>
  <si>
    <t>Kifutott Philips prémium CPAP állpánt. Ismerje meg az éjszakai szájnyitást és szájszárazságot megelőző terápiás megoldásainkat és alternatívákat!</t>
  </si>
  <si>
    <t>Kifutott termék. Extra puha, állítható rögzítőpánt a szájnyitás megelőzésére és a terápia hatékonyságának növelésére. Hasonló panasz (éjszakai szájlégzés, szájszárazság) esetén alternatívaként Full Face arcmaszk használatát vagy orvosi konzultációt javasolunk.</t>
  </si>
  <si>
    <t>lowenstein-joyce-one-full-face-fejpant</t>
  </si>
  <si>
    <t>Löwenstein JOYCEone Full Face fejpánt | Alvásterápia</t>
  </si>
  <si>
    <t>Gyári tartalék fejpánt Löwenstein JOYCEone Full Face arcmaszkhoz. Kényelmes, automatikusan idomuló kialakítás a stabil éjszakai maszkrögzítésért.</t>
  </si>
  <si>
    <t>philips-amara-full-face-fejpant-rs</t>
  </si>
  <si>
    <t>Philips Amara fejpánt kisebb méret (RS) | Alvásterápia</t>
  </si>
  <si>
    <t>Kisebb fejmérethez tervezett (RS) gyári rögzítő fejpánt Philips Amara és Amara Gel arcmaszkokhoz. Elmozdulásmentes illeszkedés és puha szegélyek.</t>
  </si>
  <si>
    <t>philips-amara-view-fejpant-l</t>
  </si>
  <si>
    <t>Philips Amara View fejpánt L méret | Alvásterápia</t>
  </si>
  <si>
    <t>Nagyobb méretű (L) gyári fejpánt Philips Amara View arcmaszkhoz. Speciális öt pontos rögzítés a szivárgásmentes és nyomásmentes alvásterápiáért.</t>
  </si>
  <si>
    <t>philips-amara-view-fejpant-csat-2db</t>
  </si>
  <si>
    <t>Philips Amara View fejpánt csat 2 db | Alvásterápia</t>
  </si>
  <si>
    <t>Gyári műanyag rögzítőkapcsok (2 db/csomag) Philips Amara View fejpánthoz. Gyors és kényelmes le- és felvételt biztosít a beállítások megőrzésével.</t>
  </si>
  <si>
    <t>philips-dreamwear-szilikon-vaz-l</t>
  </si>
  <si>
    <t>Philips DreamWear szilikon maszkváz L méret | Alvásterápia</t>
  </si>
  <si>
    <t>Gyári légáteresztő szilikon keret Philips DreamWear CPAP maszkokhoz L méretben. Puha, bőrbarát anyag és szabad légáramlás az arc mindkét oldalán.</t>
  </si>
  <si>
    <t>philips-dreamwear-szilikon-vaz-sm</t>
  </si>
  <si>
    <t>Philips DreamWear szilikon maszkváz S/M méret | Alvásterápia</t>
  </si>
  <si>
    <t>Eredeti szilikon vázkeret Philips DreamWear maszkcsaládhoz S/M méretben. Rugalmas, nyomásmentes illeszkedés és teljes mozgásszabadság alvás közben.</t>
  </si>
  <si>
    <t>philips-nuance-textil-vaz</t>
  </si>
  <si>
    <t>Philips Nuance textil vázkeret (kifutott) | Alvásterápia</t>
  </si>
  <si>
    <t>Kifutott puha szövetkeret Philips Nuance orrillesztékes maszkhoz. Kérjen szakértői segítséget kompatibilis alkatrész vagy Nuance Pro utód kiválasztásához!</t>
  </si>
  <si>
    <t>philips-wisp-szilikon-vaz</t>
  </si>
  <si>
    <t>Philips Wisp szilikon maszkváz átlátszó | Alvásterápia</t>
  </si>
  <si>
    <t>Gyári átlátszó szilikon keret Philips Wisp orrmaszkhoz. Diszkrét, könnyű és rendkívül tartós tartószerkezet a homloktámasz nélküli szabad kilátásért.</t>
  </si>
  <si>
    <t>philips-wisp-textil-vaz</t>
  </si>
  <si>
    <t>Philips Wisp textil maszkváz keret | Alvásterápia</t>
  </si>
  <si>
    <t>Puha tapintású szövet maszkkeret Philips Wisp orrmaszkhoz. Természetes bőrérzet, megfordítható textil anyag és stabil éjszakai maszktartás.</t>
  </si>
  <si>
    <t>Kifejezetten a Löwenstein JULIA maszkhoz tervezett, puha textil huzat. Megelőzi a bőr felületi nyomódását és irritációját, maximális éjszakai kényelmet biztosítva.</t>
  </si>
  <si>
    <t>lowenstein-julia-vazboritas-textil</t>
  </si>
  <si>
    <t>Löwenstein JULIA textil vázborítás | Alvásterápia</t>
  </si>
  <si>
    <t>Puha, bőrbarát textil vázborítás Löwenstein JULIA CPAP maszkhoz. Megelőzi a bőr nyomódását, extra kényelmet biztosítva az éjszakai alvásterápia során.</t>
  </si>
  <si>
    <t>philips-dreamwear-vazboritas-textil-huzat</t>
  </si>
  <si>
    <t>Philips DreamWear textil vázborítás pár (2 db) | Alvásterápia</t>
  </si>
  <si>
    <t>Gyári puha textil védőhuzat (vázborítás) Philips DreamWear szilikon vázhoz. Megakadályozza a piros nyomok kialakulását és növeli az alvási komfortot.</t>
  </si>
  <si>
    <t>Funkció: A Löwenstein JULIA puha vázborítás célja, hogy puha, kellemes kényelmi réteget biztosítson a maszk vázszerkezete és az arcbőr között. Hatékonyan segít megelőzni a felületi nyomáspontok, pirosodások és pántnyomok kialakulását, így különösen ajánlott érzékeny bőrű páciensek számára. Használatával a maszk viselése sokkal természetesebb és lágyabb érzetet nyújt az éjszaka folyamán, anélkül hogy befolyásolná a maszk stabilitását vagy tömítését. Használat: Helyezze fel a puha textil borításokat a Löwenstein JULIA orrmaszk oldalsó szárain körbetekerve, majd rögzítse a beépített tépőzárak segítségével úgy, hogy a rögzítés kívülre essen. Ügyeljen arra, hogy a borítások mindkét oldalon szimmetrikusan helyezkedjenek el az egyenletes súly- és nyomáseloszlás érdekében. Tisztítás: A megfelelő higiénia és bőrvédelem megőrzése érdekében a vázborítást hetente legalább egyszer javasolt kézzel kimosni. Használjon langyos, kímélő szappanos vagy enyhe mosószeres vizet, finoman nyomkodja át, majd hagyja szobahőmérsékleten, közvetlen hőforrástól védve megszáradni. Öblítő használata nem javasolt, mert csökkentheti az anyag légáteresztő és bőrbarát képességét. Csereperiódus - A páciens felelőssége: A megfelelő higiéniai állapot és a kényelmi funkció fenntartásához a textil borítás évenkénti cseréje javasolt. " Mikor cserélje korábban? Ha a textil anyag kibolyhosodik, elvékonyodik, elszíneződik vagy a tépőzárak tapadási ereje gyengül, javasolt az azonnali csere. Kompatibilitás: Kizárólag a Löwenstein JULIA orrmaszkhoz készült eredeti gyári kiegészítő.</t>
  </si>
  <si>
    <t>lowenstein-julia-maszkcso-rovidcso</t>
  </si>
  <si>
    <t>Löwenstein JULIA maszkcső rövidcső | Alvásterápia</t>
  </si>
  <si>
    <t>Gyári rugalmas és ultrakönnyű tartalék maszkcső (rövidcső) Löwenstein JULIA orrmaszkhoz forgócsatlakozóval a maximális éjszakai mozgásszabadságért.</t>
  </si>
  <si>
    <t>philips-nuance-maszkcso-rovidcso</t>
  </si>
  <si>
    <t>Philips Nuance rugalmas maszkcső | Alvásterápia</t>
  </si>
  <si>
    <t>Eredeti extra hajlékony szürke rövidcső forgócsuklóval Philips Nuance és Nuance Pro orrillesztékes maszkokhoz. Biztosítja a kényelmes alvási pozíciót.</t>
  </si>
  <si>
    <t>philips-wisp-maszkcso-es-konyok</t>
  </si>
  <si>
    <t>Philips Wisp maszkcső és könyökidom | Alvásterápia</t>
  </si>
  <si>
    <t>Gyári komplett tartalék egység rugalmas rövidcsővel és 360 fokban forgó könyökidommal Philips Wisp orrmaszkhoz. Megakadályozza a cső húzását éjszaka.</t>
  </si>
  <si>
    <t>philips-amara-view-maszkcso-rovidcso</t>
  </si>
  <si>
    <t>Philips Amara View maszkcső könyökidommal | Alvásterápia</t>
  </si>
  <si>
    <t>Eredeti átlátszó, könnyű tartalék maszkcső beépített forgócsuklóval Philips Amara View arcmaszkhoz. Csökkenti a feszülést és megkönnyíti a mozgást.</t>
  </si>
  <si>
    <t>oxigen-t-adapter-cpap-bipap</t>
  </si>
  <si>
    <t>Oxigén T-adapter CPAP és BiPAP készülékekhez | Alvásterápia</t>
  </si>
  <si>
    <t>Univerzális oxigén T-adapter CPAP és BiPAP terápiához. Lehetővé teszi kiegészítő oxigén biztonságos bekötését a 22 mm-es gégecsőbe. Rendelje meg online!</t>
  </si>
  <si>
    <t>philips-dreamwear-kilegzo-adapter-konyok</t>
  </si>
  <si>
    <t>Philips DreamWear kilégző könyök adapter | Alvásterápia</t>
  </si>
  <si>
    <t>Gyári 360 fokban forgó kilégző könyökadapter Philips DreamWear maszkvázhoz. Csendes légáramlás, beépített diffúzor és maximális mozgásszabadság.</t>
  </si>
  <si>
    <t>philips-dreamstation-gegecso-15mm</t>
  </si>
  <si>
    <t>Philips DreamStation 15 mm vékony gégecső | Alvásterápia</t>
  </si>
  <si>
    <t>Eredeti Philips DreamStation vékonyított (15 mm) légzőcső. Ultrakönnyű, rugalmas kialakítás, amely minimálisra csökkenti a maszk elhúzását alvás közben.</t>
  </si>
  <si>
    <t>philips-tartos-gegecso-feher-22mm</t>
  </si>
  <si>
    <t>Tartós fehér CPAP gégecső 22 mm standard | Alvásterápia</t>
  </si>
  <si>
    <t>Megerősített falú, tartós fehér 22 mm-es univerzális CPAP gégecső. Megbízható és törésbiztos légáramlás minden standard CPAP és BiPAP készülékhez.</t>
  </si>
  <si>
    <t>philips-tartos-gegecso-szurke</t>
  </si>
  <si>
    <t>Philips tartós szürke gégecső alkatrész | Alvásterápia</t>
  </si>
  <si>
    <t>Klasszikus tartós szürke CPAP gégecső (kifutott típus). Fedezze fel univerzális, törésbiztos fehér gégecsöveinket vagy fűthető cső alternatíváinkat!</t>
  </si>
  <si>
    <t>philips-dreamstation-futheto-gegecso-ht15</t>
  </si>
  <si>
    <t>Philips DreamStation fűthető gégecső HT15 | Alvásterápia</t>
  </si>
  <si>
    <t>Gyári fűthető gégecső Philips DreamStation párásítóhoz. Megelőzi a kondenzvíz lecsapódását a csőben, állandó kellemes terápiás hőmérsékletet biztosítva.</t>
  </si>
  <si>
    <t>lowenstein-prisma-hybernite-futheto-gegecso</t>
  </si>
  <si>
    <t>Löwenstein prismaHYBERNITE fűthető gégecső | Alvásterápia</t>
  </si>
  <si>
    <t>Gyári fűthető légzőcső Löwenstein PrismaAQUA párásítóhoz. Teljes védelem a csőben lévő vízcsepp-képződés ellen, tökéletes éjszakai alvási komfort.</t>
  </si>
  <si>
    <t>cpap-gegecso-huzat-kondenzviz-ellen</t>
  </si>
  <si>
    <t>CPAP gégecső huzat kondenzvíz ellen | Alvásterápia</t>
  </si>
  <si>
    <t>Puha, cipzáras gégecső huzat standard CPAP és BiPAP csövekre. Megakadályozza a kondenzvíz lecsapódását, tompítja a dörzsölődő zajt és növeli a kényelmet.</t>
  </si>
  <si>
    <t>lowenstein-somnobalance-prisma-gegecso</t>
  </si>
  <si>
    <t>Löwenstein Prisma és SomnoBalance gégecső | Alvásterápia</t>
  </si>
  <si>
    <t>Gyári, kiváló minőségű Löwenstein gégecső Prisma és SomnoBalance terápiás készülékekhez. Standard 22 mm-es csatlakozás a tartós és biztonságos légáramlásért.</t>
  </si>
  <si>
    <t>lowenstein-prismaaqua-vizkamra-tartaly</t>
  </si>
  <si>
    <t>Löwenstein prismaAQUA vízkamra tartály | Alvásterápia</t>
  </si>
  <si>
    <t>Gyári átlátszó vízkamra (víztartály) Löwenstein prismaAQUA párásító egységhez. Könnyen nyitható, egyszerűen tisztítható és maximálisan higiénikus.</t>
  </si>
  <si>
    <t>lowenstein-somnoaqua-parasito-dugo</t>
  </si>
  <si>
    <t>Löwenstein SOMNOaqua párásító záródugó | Alvásterápia</t>
  </si>
  <si>
    <t>Eredeti szilikon záródugó Löwenstein SOMNOaqua párásító tartályhoz. Biztosítja a víztartály cseppmentes zárását és egyszerű feltöltését mindennap.</t>
  </si>
  <si>
    <t>lowenstein-somnoaqua-tomitogyuru-gumi</t>
  </si>
  <si>
    <t>Löwenstein SOMNOaqua tömítőgyűrű gumi | Alvásterápia</t>
  </si>
  <si>
    <t>Gyári tartalék tömítőgyűrű Löwenstein SOMNOaqua párásítóhoz. Légmentes és szivárgásmentes illeszkedést garantál a víztartály és a készülék között.</t>
  </si>
  <si>
    <t>philips-dreamstation-parasito-vizkamra</t>
  </si>
  <si>
    <t>Philips DreamStation párásító vízkamra | Alvásterápia</t>
  </si>
  <si>
    <t>Eredeti kivehető vízkamra (párásító tartály) Philips DreamStation 1 CPAP gépekhez. Könnyű utántöltés, biztonságos tisztíthatóság és higiénikus alvás.</t>
  </si>
  <si>
    <t>lowenstein-wilasilent-parasodas-mentesito</t>
  </si>
  <si>
    <t>Löwenstein Wilasilent párásodás-mentesítő | Alvásterápia</t>
  </si>
  <si>
    <t>Löwenstein Wilasilent párásodás-mentesítő kiegészítő egység. Megbízhatóan csökkenti a nem kívánt páralecsapódást a terápiás rendszerben az éjszaka során.</t>
  </si>
  <si>
    <t>philips-system-one-parasito-vizkamra</t>
  </si>
  <si>
    <t>Philips System One párásító vízkamra | Alvásterápia</t>
  </si>
  <si>
    <t>Kifutott Philips System One (REMstar) fűtött párásító vízkamra tartály. Megbízható gyári alkatrészellátás a korábbi generációs készülékek fenntartásához.</t>
  </si>
  <si>
    <t>philips-remstar-m-parasito-vizkamra</t>
  </si>
  <si>
    <t>Philips Remstar M párásító vízkamra | Alvásterápia</t>
  </si>
  <si>
    <t>lowenstein-prisma-dc-autos-adapter-12v-24v</t>
  </si>
  <si>
    <t>Löwenstein prisma 12V/24V DC autós adapter | Alvásterápia</t>
  </si>
  <si>
    <t>Eredeti Löwenstein DC adapter autós és kamionos használathoz (12V/24V). Lehetővé teszi a Prisma CPAP készülékek biztonságos üzemeltetését utazás közben.</t>
  </si>
  <si>
    <t>lowenstein-prisma-tapegyseg-halozati-adapter</t>
  </si>
  <si>
    <t>Löwenstein Prisma hálózati tápegység | Alvásterápia</t>
  </si>
  <si>
    <t>Gyári hálózati tápegység Löwenstein Prisma CPAP és BiPAP készülékekhez. Stabil feszültség, túlfeszültség-védelem és biztonságos éjszakai működés.</t>
  </si>
  <si>
    <t>lowenstein-somnobalance-tapegyseg-adapter</t>
  </si>
  <si>
    <t>Löwenstein SomnoBalance hálózati tápegység | Alvásterápia</t>
  </si>
  <si>
    <t>Eredeti hálózati adapter a klasszikus Löwenstein SomnoBalance és SomnoSoft gépekhez. Folyamatos alkatrészellátás a meglévő készülék zavartalan működéséért.</t>
  </si>
  <si>
    <t>lowenstein-prisma-halozati-csatlakozo-kabel</t>
  </si>
  <si>
    <t>Löwenstein Prisma hálózati csatlakozó kábel | Alvásterápia</t>
  </si>
  <si>
    <t>Szabványos hálózati tápkábel Löwenstein Prisma tápegységekhez. Biztonságos és tartós elektromos csatlakozás a CPAP készülék napi áramellátásához.</t>
  </si>
  <si>
    <t>Kifutott termék. Eredeti vízkamra tartály a korábbi Philips REMstar M sorozatú fűthető párásítóhoz. A víztartály gyártása megszűnt, de a készülékhez tartozó pollenszűrők és gégecsövek továbbra is elérhetők kínálatunkban.</t>
  </si>
  <si>
    <t>Kifutott Philips REMstar M fűtött párásító vízkamra tartály. Ismerje meg az új generációs készülékeket és az elérhető szűrőket meglévő gépéhez!</t>
  </si>
  <si>
    <t>Eredeti gyári 80W-os hálózati tápegység Philips DreamStation 1 CPAP és BiPAP készülékekhez. Megbízható és stabil áramellátás fűtött párásítóval és fűthető csővel történő üzemeltetés esetén is.</t>
  </si>
  <si>
    <r>
      <rPr>
        <b/>
        <sz val="11"/>
        <color theme="1"/>
        <rFont val="Calibri"/>
        <family val="2"/>
        <charset val="238"/>
        <scheme val="minor"/>
      </rPr>
      <t>Funkció:</t>
    </r>
    <r>
      <rPr>
        <sz val="11"/>
        <color theme="1"/>
        <rFont val="Calibri"/>
        <family val="2"/>
        <charset val="238"/>
        <scheme val="minor"/>
      </rPr>
      <t xml:space="preserve">
A 80 wattos hálózati tápegység a Philips DreamStation készülékek megbízható, folyamatos áramellátását biztosítja. A megnövelt, 80W-os teljesítménykapacitás elengedhetetlen a beépített fűtött párásító és a fűthető gégecső egyidejű, biztonságos és stabil működtetéséhez feszültségingadozás nélkül.
</t>
    </r>
    <r>
      <rPr>
        <b/>
        <sz val="11"/>
        <color theme="1"/>
        <rFont val="Calibri"/>
        <family val="2"/>
        <charset val="238"/>
        <scheme val="minor"/>
      </rPr>
      <t>Használat:</t>
    </r>
    <r>
      <rPr>
        <sz val="11"/>
        <color theme="1"/>
        <rFont val="Calibri"/>
        <family val="2"/>
        <charset val="238"/>
        <scheme val="minor"/>
      </rPr>
      <t xml:space="preserve">
Csatlakoztassa a tápegység kimeneti dugóját a DreamStation készülék hátoldalán található tápaljzathoz, majd a hálózati tápkábellel csatlakoztassa a fali 100–240 V-os konnektorhoz. Nemzetközi utazás során a készülék univerzális bemeneti feszültsége révén adapterdugóval külföldön is használható.
</t>
    </r>
    <r>
      <rPr>
        <b/>
        <sz val="11"/>
        <color theme="1"/>
        <rFont val="Calibri"/>
        <family val="2"/>
        <charset val="238"/>
        <scheme val="minor"/>
      </rPr>
      <t>Karbantartás:</t>
    </r>
    <r>
      <rPr>
        <sz val="11"/>
        <color theme="1"/>
        <rFont val="Calibri"/>
        <family val="2"/>
        <charset val="238"/>
        <scheme val="minor"/>
      </rPr>
      <t xml:space="preserve">
Óvja a tápegységet a nedvességtől, párától és közvetlen hőtől. Tisztítása kizárólag áramtalanított állapotban, száraz vagy enyhén nedves mikroszálas kendővel végezhető.
</t>
    </r>
    <r>
      <rPr>
        <b/>
        <sz val="11"/>
        <color theme="1"/>
        <rFont val="Calibri"/>
        <family val="2"/>
        <charset val="238"/>
        <scheme val="minor"/>
      </rPr>
      <t>Csereperiódus – A páciens felelőssége:</t>
    </r>
    <r>
      <rPr>
        <sz val="11"/>
        <color theme="1"/>
        <rFont val="Calibri"/>
        <family val="2"/>
        <charset val="238"/>
        <scheme val="minor"/>
      </rPr>
      <t xml:space="preserve">
A tápegység tartós használatra készült. Cseréje akkor indokolt, ha a kábel megtört, a szigetelés megsérült, vagy a tápegység nem biztosít stabil tápellátást a gépnek.
</t>
    </r>
    <r>
      <rPr>
        <b/>
        <sz val="11"/>
        <color theme="1"/>
        <rFont val="Calibri"/>
        <family val="2"/>
        <charset val="238"/>
        <scheme val="minor"/>
      </rPr>
      <t>Kompatibilitás:</t>
    </r>
    <r>
      <rPr>
        <sz val="11"/>
        <color theme="1"/>
        <rFont val="Calibri"/>
        <family val="2"/>
        <charset val="238"/>
        <scheme val="minor"/>
      </rPr>
      <t xml:space="preserve">
Philips DreamStation 1 sorozatú automata CPAP és BiPAP készülékek (fűtött párásítóval és fűtött gégecsővel vagy anélkül).</t>
    </r>
  </si>
  <si>
    <t>Eredeti Philips 12V-os DC szivargyújtó adapter kábel DreamStation készülékekhez. Lehetővé teszi a biztonságos terápiát autóban, lakóautóban vagy hajón utazás közben.</t>
  </si>
  <si>
    <r>
      <rPr>
        <b/>
        <sz val="11"/>
        <color theme="1"/>
        <rFont val="Calibri"/>
        <family val="2"/>
        <charset val="238"/>
        <scheme val="minor"/>
      </rPr>
      <t>Funkció:</t>
    </r>
    <r>
      <rPr>
        <sz val="11"/>
        <color theme="1"/>
        <rFont val="Calibri"/>
        <family val="2"/>
        <charset val="238"/>
        <scheme val="minor"/>
      </rPr>
      <t xml:space="preserve">
A speciális, árnyékolt 12 voltos DC kábel lehetővé teszi, hogy a páciens utazás, kempingezés vagy nyaralás közben közvetlenül gépjárműve szivargyújtó aljzatáról (12V DC) vagy különálló akkumulátorról üzemeltesse CPAP gépét hálózati áramforrás hiányában is.
</t>
    </r>
    <r>
      <rPr>
        <b/>
        <sz val="11"/>
        <color theme="1"/>
        <rFont val="Calibri"/>
        <family val="2"/>
        <charset val="238"/>
        <scheme val="minor"/>
      </rPr>
      <t>Használat:</t>
    </r>
    <r>
      <rPr>
        <sz val="11"/>
        <color theme="1"/>
        <rFont val="Calibri"/>
        <family val="2"/>
        <charset val="238"/>
        <scheme val="minor"/>
      </rPr>
      <t xml:space="preserve">
Csatlakoztassa a kábelt a jármű 12V-os szivargyújtó aljzatába, a másik végét pedig a DreamStation gép tápbemenetébe. Akkumulátorkímélési okokból utazás közbeni használatnál javasolt a fűtött párásító és a fűthető cső fűtési funkciójának kikapcsolása vagy alacsonyabb fokozaton történő üzemeltetése.
</t>
    </r>
    <r>
      <rPr>
        <b/>
        <sz val="11"/>
        <color theme="1"/>
        <rFont val="Calibri"/>
        <family val="2"/>
        <charset val="238"/>
        <scheme val="minor"/>
      </rPr>
      <t>Karbantartás és biztonság:</t>
    </r>
    <r>
      <rPr>
        <sz val="11"/>
        <color theme="1"/>
        <rFont val="Calibri"/>
        <family val="2"/>
        <charset val="238"/>
        <scheme val="minor"/>
      </rPr>
      <t xml:space="preserve">
Mindig győződjön meg róla, hogy a szivargyújtó csatlakozója szorosan és tisztán illeszkedik az aljzatba. Ne használja a kábelt, ha a vezeték megtört vagy a csatlakozófej túlmelegszik.
</t>
    </r>
    <r>
      <rPr>
        <b/>
        <sz val="11"/>
        <color theme="1"/>
        <rFont val="Calibri"/>
        <family val="2"/>
        <charset val="238"/>
        <scheme val="minor"/>
      </rPr>
      <t>Kompatibilitás:</t>
    </r>
    <r>
      <rPr>
        <sz val="11"/>
        <color theme="1"/>
        <rFont val="Calibri"/>
        <family val="2"/>
        <charset val="238"/>
        <scheme val="minor"/>
      </rPr>
      <t xml:space="preserve">
Philips Respironics DreamStation 1 sorozat CPAP és BiPAP terápiás készülékei.</t>
    </r>
  </si>
  <si>
    <t>Eredeti hálózati tápegység a klasszikus Philips REMstar és System One CPAP készülékekhez. Folyamatos gyári alkatrészellátás és megbízható energiaellátás régebbi típusokhoz.</t>
  </si>
  <si>
    <r>
      <rPr>
        <b/>
        <sz val="11"/>
        <color theme="1"/>
        <rFont val="Calibri"/>
        <family val="2"/>
        <charset val="238"/>
        <scheme val="minor"/>
      </rPr>
      <t>Funkció:</t>
    </r>
    <r>
      <rPr>
        <sz val="11"/>
        <color theme="1"/>
        <rFont val="Calibri"/>
        <family val="2"/>
        <charset val="238"/>
        <scheme val="minor"/>
      </rPr>
      <t xml:space="preserve">
Eredeti gyári külső hálózati tápegység a korábbi generációs, szürke és fekete „kocka” formájú Philips Respironics REMstar és System One terápiás készülékekhez. Biztosítja az egyenletes feszültséget és védi a készülék belső elektronikáját a hálózati ingadozásokkal szemben.
</t>
    </r>
    <r>
      <rPr>
        <b/>
        <sz val="11"/>
        <color theme="1"/>
        <rFont val="Calibri"/>
        <family val="2"/>
        <charset val="238"/>
        <scheme val="minor"/>
      </rPr>
      <t>Használat:</t>
    </r>
    <r>
      <rPr>
        <sz val="11"/>
        <color theme="1"/>
        <rFont val="Calibri"/>
        <family val="2"/>
        <charset val="238"/>
        <scheme val="minor"/>
      </rPr>
      <t xml:space="preserve">
Csatlakoztassa a tápegységet a készülék hátulján lévő hálózati bemenethez, majd a tápkábelt dugja a standard fali aljzatba. Ideális pótalkatrész az eredeti tápegység elvesztése, sérülése vagy meghibásodása esetén.
</t>
    </r>
    <r>
      <rPr>
        <b/>
        <sz val="11"/>
        <color theme="1"/>
        <rFont val="Calibri"/>
        <family val="2"/>
        <charset val="238"/>
        <scheme val="minor"/>
      </rPr>
      <t>Karbantartás:</t>
    </r>
    <r>
      <rPr>
        <sz val="11"/>
        <color theme="1"/>
        <rFont val="Calibri"/>
        <family val="2"/>
        <charset val="238"/>
        <scheme val="minor"/>
      </rPr>
      <t xml:space="preserve">
Tartsa száraz, jól szellőző helyen; használat közben ne takarja le ruhával vagy ágyneművel a megfelelő hőelvezetés érdekében.
</t>
    </r>
    <r>
      <rPr>
        <b/>
        <sz val="11"/>
        <color theme="1"/>
        <rFont val="Calibri"/>
        <family val="2"/>
        <charset val="238"/>
        <scheme val="minor"/>
      </rPr>
      <t>Kompatibilitás:</t>
    </r>
    <r>
      <rPr>
        <sz val="11"/>
        <color theme="1"/>
        <rFont val="Calibri"/>
        <family val="2"/>
        <charset val="238"/>
        <scheme val="minor"/>
      </rPr>
      <t xml:space="preserve">
Philips Respironics System One (50-es és 60-as sorozat), valamint a korábbi REMstar CPAP és BiPAP készülékek.</t>
    </r>
  </si>
  <si>
    <t>12V-os szivargyújtós autós adapter kábel a klasszikus Philips REMstar és System One sorozathoz. Ideális választás utazáshoz, kempingezéshez és járműves használathoz.</t>
  </si>
  <si>
    <r>
      <rPr>
        <b/>
        <sz val="11"/>
        <color theme="1"/>
        <rFont val="Calibri"/>
        <family val="2"/>
        <charset val="238"/>
        <scheme val="minor"/>
      </rPr>
      <t>Funkció:</t>
    </r>
    <r>
      <rPr>
        <sz val="11"/>
        <color theme="1"/>
        <rFont val="Calibri"/>
        <family val="2"/>
        <charset val="238"/>
        <scheme val="minor"/>
      </rPr>
      <t xml:space="preserve">
Árnyékolt 12 voltos DC tápkábel, amely lehetővé teszi a régebbi Philips REMstar és System One gépek működtetését személyautó, lakóautó vagy kishajó 12V-os szivargyújtó aljzatáról, hálózati áramtól függetlenül.
</t>
    </r>
    <r>
      <rPr>
        <b/>
        <sz val="11"/>
        <color theme="1"/>
        <rFont val="Calibri"/>
        <family val="2"/>
        <charset val="238"/>
        <scheme val="minor"/>
      </rPr>
      <t>Használat:</t>
    </r>
    <r>
      <rPr>
        <sz val="11"/>
        <color theme="1"/>
        <rFont val="Calibri"/>
        <family val="2"/>
        <charset val="238"/>
        <scheme val="minor"/>
      </rPr>
      <t xml:space="preserve">
Dugja be a szivargyújtó dugót a jármű 12V-os aljzatába, a DC csatlakozót pedig a terápiás készülék bemenetébe. Javasoljuk, hogy az autó akkumulátorának védelme érdekében párásító nélkül vagy hideg párásítási módban használja a készüléket.
</t>
    </r>
    <r>
      <rPr>
        <b/>
        <sz val="11"/>
        <color theme="1"/>
        <rFont val="Calibri"/>
        <family val="2"/>
        <charset val="238"/>
        <scheme val="minor"/>
      </rPr>
      <t>Biztonsági előírások:</t>
    </r>
    <r>
      <rPr>
        <sz val="11"/>
        <color theme="1"/>
        <rFont val="Calibri"/>
        <family val="2"/>
        <charset val="238"/>
        <scheme val="minor"/>
      </rPr>
      <t xml:space="preserve">
Kizárólag 12V-os egyenáramú rendszerekkel használható (24V-os teherautó-rendszerhez feszültségátalakító szükséges). A csatlakozófejben beépített biztosíték védi a gép elektronikáját.
</t>
    </r>
    <r>
      <rPr>
        <b/>
        <sz val="11"/>
        <color theme="1"/>
        <rFont val="Calibri"/>
        <family val="2"/>
        <charset val="238"/>
        <scheme val="minor"/>
      </rPr>
      <t>Kompatibilitás:</t>
    </r>
    <r>
      <rPr>
        <sz val="11"/>
        <color theme="1"/>
        <rFont val="Calibri"/>
        <family val="2"/>
        <charset val="238"/>
        <scheme val="minor"/>
      </rPr>
      <t xml:space="preserve">
Philips Respironics REMstar sorozat, System One és M-Series terápiás készülékek.</t>
    </r>
  </si>
  <si>
    <t>philips-dreamstation-80w-tapegyseg</t>
  </si>
  <si>
    <t>Philips DreamStation 80W hálózati tápegység | Alvásterápia</t>
  </si>
  <si>
    <t>Gyári Philips DreamStation 80W-os hálózati tápegység CPAP és BiPAP készülékekhez. Stabil feszültség, fűtött párásító támogatás és megbízható működés.</t>
  </si>
  <si>
    <t>philips-dreamstation-12v-szivargyujto-adapter</t>
  </si>
  <si>
    <t>Philips DreamStation 12V szivargyújtós táp | Alvásterápia</t>
  </si>
  <si>
    <t>Gyári Philips DreamStation 12V szivargyújtó kábel és DC adapter. Biztonságos CPAP terápia utazás közben autóban, lakóautóban és hajón. Rendelje meg!</t>
  </si>
  <si>
    <t>philips-remstar-system-one-tapegyseg</t>
  </si>
  <si>
    <t>Philips REMstar System One tápegység | Alvásterápia</t>
  </si>
  <si>
    <t>Eredeti gyári hálózati tápegység Philips REMstar és System One CPAP készülékekhez. Megbízható feszültség és alkatrész-utánpótlás korábbi típusokhoz.</t>
  </si>
  <si>
    <t>philips-remstar-system-one-szivargyujto-tap</t>
  </si>
  <si>
    <t>Philips REMstar 12V szivargyújtós tápegység | Alvásterápia</t>
  </si>
  <si>
    <t>Gyári 12V DC szivargyújtó adapter Philips REMstar és System One gépekhez. Gondtalan alvásterápia utazáskor autóban és lakókocsiban régebbi típusokhoz is.</t>
  </si>
  <si>
    <t>reventil-orrspray-ectoin-20ml</t>
  </si>
  <si>
    <t>Reventil orrspray 20 ml Ectoinnal | Alvásterápia</t>
  </si>
  <si>
    <t>Természetes Reventil orrspray Ectoinnal CPAP terápia mellé és allergiára. Védi a nyálkahártyát, enyhíti a dugulást hozzászokás nélkül. Rendelje meg!</t>
  </si>
  <si>
    <t>lowenstein-prisma-somnobalance-sd-kartya</t>
  </si>
  <si>
    <t>Löwenstein SD-kártya Prisma és Somno gépekhez | Alvásterápia</t>
  </si>
  <si>
    <t>Gyári Löwenstein SD-kártya Prisma és Somnobalance készülékekhez. Terápiás adatok pontos rögzítése és biztonságos mentése orvosi kiértékeléshez.</t>
  </si>
  <si>
    <t>philips-cpap-bipap-sd-memoriakartya</t>
  </si>
  <si>
    <t>Philips SD memóriakártya CPAP készülékekhez | Alvásterápia</t>
  </si>
  <si>
    <t>Univerzális SD memóriakártya Philips DreamStation, System One és REMstar gépekhez. Rögzítse megbízhatóan alvásterápiás adatait az orvosi kontrollhoz!</t>
  </si>
  <si>
    <t>philips-system-one-kezelogomb-ui-knob</t>
  </si>
  <si>
    <t>Philips System One kezelőgomb (UI knob) | Alvásterápia</t>
  </si>
  <si>
    <t>Gyári vezérlőgomb (UI knob forgótárcsa) Philips System One és REMstar készülékekhez. Egyszerű csere, hibátlan menükezelés meglévő CPAP gépéhez.</t>
  </si>
  <si>
    <t>aeonmed-as100a-cpap-adapter-tapegyseg</t>
  </si>
  <si>
    <t>Aeonmed AS100A CPAP hálózati adapter | Alvásterápia</t>
  </si>
  <si>
    <t>Gyári hálózati tápegység és adapter Aeonmed AS100A Auto CPAP készülékhez. Stabil 24V-os feszültség és megbízható éjszakai energiaellátás. Rendelje meg!</t>
  </si>
  <si>
    <t>Speciális Löwenstein zaj- és páralecsapódás-csökkentő kiegészítő egység. Megbízhatóan minimalizálja a légáramlási zajokat és segít megelőzni a nem kívánt kondenzvíz-képződést a terápiás rendszerben az éjszaka folyamán.</t>
  </si>
  <si>
    <r>
      <rPr>
        <b/>
        <sz val="11"/>
        <color theme="1"/>
        <rFont val="Calibri"/>
        <family val="2"/>
        <charset val="238"/>
        <scheme val="minor"/>
      </rPr>
      <t>Funkció:</t>
    </r>
    <r>
      <rPr>
        <sz val="11"/>
        <color theme="1"/>
        <rFont val="Calibri"/>
        <family val="2"/>
        <charset val="238"/>
        <scheme val="minor"/>
      </rPr>
      <t xml:space="preserve">
A Löwenstein Wilasilent egy speciális, közbeiktatható tartozékegység, amely kettős feladatot lát el a terápiás körben: egyrészt hatékony akusztikai tompítóként működik (csökkenti a légáramlásból és a készülékből érkező zörejeket a maszk felé), másrészt belső lamellás felépítése révén segít pufferelni és mérsékelni a hőmérséklet-különbségből fakadó hirtelen páralecsapódást (kondenzációt). Használatával a terápia halkabbá és kiegyensúlyozottabbá válik.
</t>
    </r>
    <r>
      <rPr>
        <b/>
        <sz val="11"/>
        <color theme="1"/>
        <rFont val="Calibri"/>
        <family val="2"/>
        <charset val="238"/>
        <scheme val="minor"/>
      </rPr>
      <t>Használat:</t>
    </r>
    <r>
      <rPr>
        <sz val="11"/>
        <color theme="1"/>
        <rFont val="Calibri"/>
        <family val="2"/>
        <charset val="238"/>
        <scheme val="minor"/>
      </rPr>
      <t xml:space="preserve">
Illessze az egységet a terápiás csőrendszerbe a gyártói útmutatás szerint (a készülék/párásító kimenete és a gégecső közé, vagy a gégecső és a maszkcső közé). Ügyeljen arra, hogy a csatlakozók szorosan, résmentesen zárjanak, elkerülve a nyomásveszteséget és a szivárgást.
</t>
    </r>
    <r>
      <rPr>
        <b/>
        <sz val="11"/>
        <color theme="1"/>
        <rFont val="Calibri"/>
        <family val="2"/>
        <charset val="238"/>
        <scheme val="minor"/>
      </rPr>
      <t>Tisztítás és karbantartás:</t>
    </r>
    <r>
      <rPr>
        <sz val="11"/>
        <color theme="1"/>
        <rFont val="Calibri"/>
        <family val="2"/>
        <charset val="238"/>
        <scheme val="minor"/>
      </rPr>
      <t xml:space="preserve">
Hetente legalább egyszer tisztítsa meg langyos, semleges hatású mosogatószeres vízzel. Alaposan öblítse át folyó vízzel, majd hagyja szobahőmérsékleten, függőleges helyzetben teljesen megszáradni. Kizárólag teljesen száraz állapotban helyezze vissza a rendszerbe. Ne tegye mosogatógépbe, és ne érje közvetlen hősugárzás (pl. fűtőtest).
</t>
    </r>
    <r>
      <rPr>
        <b/>
        <sz val="11"/>
        <color theme="1"/>
        <rFont val="Calibri"/>
        <family val="2"/>
        <charset val="238"/>
        <scheme val="minor"/>
      </rPr>
      <t>Csereperiódus – A páciens felelőssége:</t>
    </r>
    <r>
      <rPr>
        <sz val="11"/>
        <color theme="1"/>
        <rFont val="Calibri"/>
        <family val="2"/>
        <charset val="238"/>
        <scheme val="minor"/>
      </rPr>
      <t xml:space="preserve">
A megfelelő higiénia és hatékonyság fenntartása érdekében az egység évenkénti cseréje javasolt.
» Mikor cserélje korábban? Ha a ház anyaga megreped, a csatlakozócsonkok kilazulnak, vagy ha a belsejében eltávolíthatatlan lerakódás, elszíneződés képződik.
</t>
    </r>
    <r>
      <rPr>
        <b/>
        <sz val="11"/>
        <color theme="1"/>
        <rFont val="Calibri"/>
        <family val="2"/>
        <charset val="238"/>
        <scheme val="minor"/>
      </rPr>
      <t>Kompatibilitás:</t>
    </r>
    <r>
      <rPr>
        <sz val="11"/>
        <color theme="1"/>
        <rFont val="Calibri"/>
        <family val="2"/>
        <charset val="238"/>
        <scheme val="minor"/>
      </rPr>
      <t xml:space="preserve">
Szabványos 22 mm-es csatlakozásának köszönhetően kompatibilis a Löwenstein (és Weinmann) alvásterápiás rendszerekkel, valamint a standard átmérőjű CPAP/BiPAP gégecsövekkel.</t>
    </r>
  </si>
  <si>
    <t>JULIA-ORRMASZK</t>
  </si>
  <si>
    <t>NUANCE PRO</t>
  </si>
  <si>
    <t xml:space="preserve">XL-es fejpánt Löwenstein Fullface maszkokhoz (J.ONE /CARA/LENA/J.EASY/J.EASY NEXT) </t>
  </si>
  <si>
    <r>
      <t xml:space="preserve">Kifutott termék. Löwenstein Joyce SilkGel – a zselés kényelem klasszikusa. Selymes SilkTec bevonat és lágy gélpárna a maximális bőrvédelemért. </t>
    </r>
    <r>
      <rPr>
        <b/>
        <sz val="11"/>
        <color theme="1"/>
        <rFont val="Calibri"/>
        <family val="2"/>
        <charset val="238"/>
        <scheme val="minor"/>
      </rPr>
      <t xml:space="preserve">
A típus gyártása véglegesen leállt, közvetlen utódmodell és pótalkatrész (párna, fejpánt) már nem biztosított hozzá. Javasoljuk, tekintse meg a JOYCEeasyNext vagy CARA FF modelljeinket a hosszú távú megoldás érdekében.</t>
    </r>
  </si>
  <si>
    <t>A Joyce SilkGel orr-száj maszk a Löwenstein Medical (korábban Weinmann) egyik legsikeresebb fejlesztése, amely a gélmaszkok stabilitását ötvözi a különleges SilkTec felületkezeléssel. FIGYELEM – Gyártói státusz és alkatrész-ellátás:
Felhívjuk figyelmét, hogy a termék forgalmazása véglegesen megszűnt, a gyártó leállította a típus gyártását. A maszkhoz sem közvetlen utódmodell, sem gyári alkatrész-utánpótlás (cserepárna, fejpánt, könyökadapter) már nem érhető el és nem rendelhető.
Amennyiben Ön korábban ezt a típust használta, az alváslaborban vagy szaküzletünkben segítünk kiválasztani a legmegfelelőbb modern alternatívát: orrmaszk esetén a könnyű és csendes Löwenstein CARA vagy JOYCEone, orr-száj maszk esetén pedig a CARA Full Face vagy JOYCEeasy Next modelleket javasoljuk a hosszú távú, biztos alkatrész-ellátással rendelkező terápia érdekében.
Szakmai érv:
A maszk legfőbb vonzereje a SilkTec bevonatú gélpárna. Ez a technológia egy selymes, bőrhöz hasonló tapintást kölcsönöz a szilikonnak és a gélnek, ami drasztikusan csökkenti a súrlódást és a bőrpírt. Az állítható homloktámasz és a gömbcsuklós csőcsatlakozás stabil, mégis rugalmas viseletet tesz lehetővé.
FIGYELEM: Ez egy kifutó termék, amely már csak korlátozott készleten érhető el. Kérjük, vegye figyelembe, hogy a modellhez pótalkatrészek (pót-párna, fejpánt) már nem rendelhetők, így a maszkot elsősorban azoknak ajánljuk, akik ismerik és szeretik ezt a típust, vagy sürgős pótlást keresnek S-es méretben.
Főbb előnyök:
- Gélkomfort és SilkTec: Selymes tapintású, lágy zselés párna, amely védi az érzékeny arcbőrt.
- Kiváló nyomáselosztás: A gél töltet kitölti az arc egyenetlenségeit, javítva az illeszkedést.
- Állítható homloktámasz: Személyre szabható dőlésszög a tehermentesített orrnyeregért.
- Halk üzemmód: Hatékony, diffúz kilégzőrendszer a nyugodt alvásért.
- Mágnesmentes rögzítés: Biztonsággal használható pacemakerrel rendelkező páciensek számára is.</t>
  </si>
  <si>
    <t xml:space="preserve">Joyce SilkGel Full </t>
  </si>
  <si>
    <t>lowenstein-joyce-silkgel-kifutott-maszk</t>
  </si>
  <si>
    <t>Löwenstein Joyce SilkGel maszk (kifutott modell) | Alvásterápia</t>
  </si>
  <si>
    <t>Kifutott Löwenstein Joyce SilkGel CPAP maszk. A típushoz cserealkatrészek már nem elérhetők; ismerje meg az új generációs orr- és arcmaszk alternatívákat!</t>
  </si>
  <si>
    <t>DREAMWEARGEL-KIFUTOTT</t>
  </si>
  <si>
    <t>1125024</t>
  </si>
  <si>
    <t xml:space="preserve">DreamWear Gel </t>
  </si>
  <si>
    <t>Kifutott típus. Philips DreamWear Gel – az orr alatti gélpárnás szabadság úttörője. A DreamWear moduláris vázkeret és fejpánt továbbra is kompatibilis az újabb párnákkal, azonban a gélpárnás (Gel Pillows) orrilleszték gyártása és alkatrész-utánpótlása végleg megszűnt.</t>
  </si>
  <si>
    <t>A Philips DreamWear Gel maszk az orr alatti kényelmet és a fejtetői csőcsatlakozás által nyújtott szabad mozgást ötvözte a lágy gélpárnák (orrillesztékek) precíz tömítésével.
FIGYELEM – Gyártói státusz és modularitási tájékoztató:
A Philips Respironics beszüntette a DreamWear Gel változat gyártását, így a kék zselés orrpárnák (Gel Pillows) önálló utánpótlása már nem rendelhető és nem elérhető
A DreamWear rendszer előnye a modularitás:
A DreamWear keretrendszer univerzális felépítésű, így amennyiben a szilikon váz és a fejpánt még jó állapotban van, Önnek nem szükséges a teljes maszkrendszert lecserélnie. A meglévő vázszerkezet tökéletesen kompatibilis az alábbi, jelenleg is aktívan gyártott és teljes alkatrész-ellátással rendelkező párnatípusokkal:
• DreamWear Nasal (orrpárna): finom, orr alatti szilikon párna az irritációmentes légzésért.
• DreamWear Full Face (arcmaszk párna): szájlégzés esetén az alsó mágneses pántokkal kiegészítve.
Amennyiben gélpárnás kialakítást keres, alternatívaként a különálló fejpánttal és kerettel rendelkező Philips Nuance Pro Gel maszkot, vagy a modern DreamWear szilikon orrpárnára való áttérést javasoljuk.</t>
  </si>
  <si>
    <t>philips-dreamwear-gel-kifutott-maszk</t>
  </si>
  <si>
    <t>Philips DreamWear Gel orrmaszk (kifutott) | Alvásterápia</t>
  </si>
  <si>
    <t>Kifutott Philips DreamWear Gel maszk. A gélpárna már nem rendelhető, de a moduláris vázhoz elérhetők a normál szilikon orr- és arcmaszk cserepárnák!</t>
  </si>
  <si>
    <t xml:space="preserve">Nuance Gel </t>
  </si>
  <si>
    <t>LEGACY-SGFF</t>
  </si>
  <si>
    <t>LEGACY-DWISP</t>
  </si>
  <si>
    <t>Kifutott termék. A Philips DreamWisp orrmaszk a stabilitás és a mozgásszabadság úttörő hibridje volt – a típus forgalmazása megszűnt, átadva helyét az újabb generációs modelleknek.</t>
  </si>
  <si>
    <t>A DreamWisp maszk az orrot körülölelő klasszikus Wisp párna stabilitását ötvözte a fejtetőn elhelyezett, 360 fokban forgó csőcsatlakozás előnyeivel. Kialakítása révén a cső nem az arc előtt húzódott, így szabad látómezőt és kényelmes alvási pozícióváltást biztosított.
FIGYELEM – Kifutott modell:
A termék forgalmazása végleg lezárult. Amennyiben Ön korábban ezt a típust használta, szaküzletünkben vagy alváslaborunkban segítünk megtalálni a legmegfelelőbb korszerű alternatívát:
• Philips DreamWear Nasal: orr alatti, minimális érintkezésű szilikonpárnával a maximális szabadságért.
• Philips Wisp: klasszikus orrmaszk elöl csatlakozó, rendkívül rugalmas rövidcsővel.
• Löwenstein CARA: pehelykönnyű, csendes orrmaszk biztos gyári alkatrész-ellátással.</t>
  </si>
  <si>
    <t>philips-dreamwisp-orrmaszk-kifutott</t>
  </si>
  <si>
    <t>Philips DreamWisp orrmaszk (kifutott modell) | Alvásterápia</t>
  </si>
  <si>
    <t>Kifutott Philips DreamWisp CPAP orrmaszk. A típus forgalmazása megszűnt; ismerje meg az új generációs Philips DreamWear és Wisp maszk alternatívákat!</t>
  </si>
  <si>
    <t>DreamWisp</t>
  </si>
  <si>
    <t>205.01.01</t>
  </si>
  <si>
    <t>WM 27591</t>
  </si>
  <si>
    <t>Baktériumszűrő Teleflex Iso-Gard</t>
  </si>
  <si>
    <t>WM 15668</t>
  </si>
  <si>
    <t>1142687</t>
  </si>
  <si>
    <t>1142831</t>
  </si>
  <si>
    <t>DS2 újrafelhasználható pollenszűrő</t>
  </si>
  <si>
    <t>DS2 ultrafinom szűrő</t>
  </si>
  <si>
    <t>Engedélyezett</t>
  </si>
  <si>
    <t>Letiltott</t>
  </si>
  <si>
    <t xml:space="preserve"> 12 V-os szivargyújtós táp- kábel S60-as készülékhez</t>
  </si>
  <si>
    <t>1097568</t>
  </si>
  <si>
    <t xml:space="preserve"> 12 V-os szivargyújtós tápkábel</t>
  </si>
  <si>
    <t>1001956</t>
  </si>
  <si>
    <t xml:space="preserve"> 12 V-os tápkábel Dreamstation auto cpap készülékhez </t>
  </si>
  <si>
    <t>1120746</t>
  </si>
  <si>
    <t>WM 31704</t>
  </si>
  <si>
    <t>Külső akkumulátor prismaSmart készülékhez</t>
  </si>
  <si>
    <t>Eredeti gyári Löwenstein külső akkumulátor (prismaBATTERY) prismaSMART és Prisma sorozatú CPAP készülékekhez. Teljes függetlenséget biztosít a hálózati áramtól utazás, kempingezés vagy áramkimaradás esetén. Rendelésre elérhető termék.</t>
  </si>
  <si>
    <r>
      <rPr>
        <b/>
        <sz val="11"/>
        <color theme="1"/>
        <rFont val="Calibri"/>
        <family val="2"/>
        <charset val="238"/>
        <scheme val="minor"/>
      </rPr>
      <t>Funkció és terápiás függetlenség:</t>
    </r>
    <r>
      <rPr>
        <sz val="11"/>
        <color theme="1"/>
        <rFont val="Calibri"/>
        <family val="2"/>
        <charset val="238"/>
        <scheme val="minor"/>
      </rPr>
      <t xml:space="preserve">
A gyári Löwenstein prismaBATTERY nagyteljesítményű lítium-ion külső akkumulátor egység, amelyet kifejezetten a Prisma készülékcsalád mobilitásának növelésére fejlesztettek ki. Lehetővé teszi a biztonságos, folyamatos alvásterápiát olyan helyzetekben is, ahol nem áll rendelkezésre fali konnektor: utazáskor, repülőgépen, kempingezés, vitorlázás vagy váratlan otthoni áramszünet idején.
</t>
    </r>
    <r>
      <rPr>
        <b/>
        <sz val="11"/>
        <color theme="1"/>
        <rFont val="Calibri"/>
        <family val="2"/>
        <charset val="238"/>
        <scheme val="minor"/>
      </rPr>
      <t>Működés és üzemidő:</t>
    </r>
    <r>
      <rPr>
        <sz val="11"/>
        <color theme="1"/>
        <rFont val="Calibri"/>
        <family val="2"/>
        <charset val="238"/>
        <scheme val="minor"/>
      </rPr>
      <t xml:space="preserve">
Az akkumulátor a beállított terápiás nyomástól és a kiegészítők használatától függően biztosítja az éjszakai üzemidőt.
(Fontos tudnivaló: az üzemidő maximalizálása érdekében akkumulátoros használat közben javasolt a fűtött párásító és fűthető gégecső kikapcsolása vagy csökkentett fokozaton történő üzemeltetése).
</t>
    </r>
    <r>
      <rPr>
        <b/>
        <sz val="11"/>
        <color theme="1"/>
        <rFont val="Calibri"/>
        <family val="2"/>
        <charset val="238"/>
        <scheme val="minor"/>
      </rPr>
      <t>Használat és töltés:</t>
    </r>
    <r>
      <rPr>
        <sz val="11"/>
        <color theme="1"/>
        <rFont val="Calibri"/>
        <family val="2"/>
        <charset val="238"/>
        <scheme val="minor"/>
      </rPr>
      <t xml:space="preserve">
A csomag tartalmazza a készülékhez és a töltéshez szükséges csatlakozó kábeleket. Az akkumulátor állapotjelző LED-ekkel van felszerelve, amelyek mutatják az aktuális töltöttségi szintet. A gép hálózatra kötésekor szünetmentes tápként (UPS funkció) is megvédi a terápiát az éjszakai áramkimaradásoktól.
</t>
    </r>
    <r>
      <rPr>
        <b/>
        <sz val="11"/>
        <color theme="1"/>
        <rFont val="Calibri"/>
        <family val="2"/>
        <charset val="238"/>
        <scheme val="minor"/>
      </rPr>
      <t>Rendelési információ:</t>
    </r>
    <r>
      <rPr>
        <sz val="11"/>
        <color theme="1"/>
        <rFont val="Calibri"/>
        <family val="2"/>
        <charset val="238"/>
        <scheme val="minor"/>
      </rPr>
      <t xml:space="preserve">
Egyedi megrendelésre beszerezhető prémium tartozék. A szállítási határidőről ügyfélszolgálatunk ad tájékoztatást a megrendelés beérkezését követően.
</t>
    </r>
    <r>
      <rPr>
        <b/>
        <sz val="11"/>
        <color theme="1"/>
        <rFont val="Calibri"/>
        <family val="2"/>
        <charset val="238"/>
        <scheme val="minor"/>
      </rPr>
      <t>Kompatibilitás:</t>
    </r>
    <r>
      <rPr>
        <sz val="11"/>
        <color theme="1"/>
        <rFont val="Calibri"/>
        <family val="2"/>
        <charset val="238"/>
        <scheme val="minor"/>
      </rPr>
      <t xml:space="preserve">
Löwenstein Prisma készülékcsalád: prismaSMART, prismaSMART Plus, prismaSOFT, prisma20A, valamint Prisma BiPAP modellek.</t>
    </r>
  </si>
  <si>
    <t>lowenstein-prismasmart-kulso-akkumulator-wm31704</t>
  </si>
  <si>
    <t>Löwenstein prismaSMART akkumulátor WM31704 | Alvásterápia</t>
  </si>
  <si>
    <t>Gyári Löwenstein prismaBATTERY külső akkumulátor prismaSMART CPAP készülékekhez. Terápiás biztonság és áramfüggetlenség utazáshoz. Rendelje meg online!</t>
  </si>
  <si>
    <t>KVL Mióta kapható?</t>
  </si>
  <si>
    <t>Alacsony légellenállású, kétirányú vírus- és baktériumszűrő CPAP, BiPAP és otthoni lélegeztető készülékekhez. Standard 22 mm-es csatlakozásával univerzálisan kompatibilis, megbízható védelmet nyújt a kórokozókkal szemben.</t>
  </si>
  <si>
    <r>
      <rPr>
        <b/>
        <sz val="11"/>
        <color theme="1"/>
        <rFont val="Calibri"/>
        <family val="2"/>
        <charset val="238"/>
        <scheme val="minor"/>
      </rPr>
      <t>Funkció és védelem:</t>
    </r>
    <r>
      <rPr>
        <sz val="11"/>
        <color theme="1"/>
        <rFont val="Calibri"/>
        <family val="2"/>
        <charset val="238"/>
        <scheme val="minor"/>
      </rPr>
      <t xml:space="preserve">
A Teleflex Iso-Gard egy elektrosztatikus szűrőközeggel ellátott, magas hatékonyságú kétirányú vírus- és baktériumszűrő egység. A terápiás készülék levegőkimenete és a gégecső közé helyezve hatékony fizikai gátat képez, megakadályozva a mikrobiológiai kórokozók bejutását a légzőkörbe. Kifejezetten ajánlott fokozott fertőzésveszély, legyengült immunrendszer vagy fertőző légúti megbetegedés esetén.
</t>
    </r>
    <r>
      <rPr>
        <b/>
        <sz val="11"/>
        <color theme="1"/>
        <rFont val="Calibri"/>
        <family val="2"/>
        <charset val="238"/>
        <scheme val="minor"/>
      </rPr>
      <t>Használati és csereútmutató:</t>
    </r>
    <r>
      <rPr>
        <sz val="11"/>
        <color theme="1"/>
        <rFont val="Calibri"/>
        <family val="2"/>
        <charset val="238"/>
        <scheme val="minor"/>
      </rPr>
      <t xml:space="preserve">
• Csatlakoztassa a szűrőt közvetlenül a terápiás készülék levegőkifúvó csonkja és a gégecső közé.
• Rendszeresen cserélendő: a csere idejét az alkalmazási környezet határozza meg (akut állapotban napi váltás, otthoni stabil használat esetén maximum 1-2 hónap).
• Fontos figyelmeztetés párásító használata esetén: Amennyiben készülékéhez fűtött párásítót használ, a páralecsapódás gyorsan eltömítheti a szűrő pórusait. Párásító mellé a szűrő használata kizárólag egyedi szakorvosi utasításra javasolt!
• Mikor kell azonnal kidobni? Ha a szűrő fehér felülete elszürkül, porral vagy nedvességgel telítődik, azonnal cserélje ki! Az eltömődött szűrő megnöveli a légzési ellenállást és gátolja a készülék terápiás nyomásának felépülését. Szükség esetén a készülék a szivacsszűrő és pollenszűrő használatával baktériumszűrő nélkül is biztonságosan használható.
Kompatibilitás:
Univerzális kivitel. A szabványos 22 mm-es kúpos csatlakozóknak köszönhetően valamennyi CPAP, BiPAP készülékkel kompatibilis (Löwenstein Prisma/Somno sorozat, Philips DreamStation/System One, stb.).</t>
    </r>
  </si>
  <si>
    <t>teleflex-iso-gard-virus-bakteriumszuro-wm27591</t>
  </si>
  <si>
    <t>Teleflex Iso-Gard baktériumszűrő WM27591 | Alvásterápia</t>
  </si>
  <si>
    <t>Eredeti Teleflex Iso-Gard vírus- és baktériumszűrő CPAP és BiPAP készülékekhez. Alacsony légellenállás, univerzális 22 mm-es illeszkedés. Rendelje meg!</t>
  </si>
  <si>
    <t>régi</t>
  </si>
  <si>
    <t>PHILIPS TÁPEGYSÉG</t>
  </si>
  <si>
    <t>PRISMA AKKU</t>
  </si>
  <si>
    <t>Eredeti Löwenstein 4 pontos rögzítésű textil fejpánt CARA Full Face arcmaszkhoz. Légáteresztő, bőrbarát OEKO-TEX® minősítésű anyagból a stabil illeszkedésért és a nyomáspontmentes éjszakai kényelemért.</t>
  </si>
  <si>
    <r>
      <rPr>
        <b/>
        <sz val="11"/>
        <color theme="1"/>
        <rFont val="Calibri"/>
        <family val="2"/>
        <charset val="238"/>
        <scheme val="minor"/>
      </rPr>
      <t>Funkció és kialakítás:</t>
    </r>
    <r>
      <rPr>
        <sz val="11"/>
        <color theme="1"/>
        <rFont val="Calibri"/>
        <family val="2"/>
        <charset val="238"/>
        <scheme val="minor"/>
      </rPr>
      <t xml:space="preserve">
A Löwenstein CARA Full Face fejpánt az arcmaszk stabil, mégis kíméletes megtámasztásáért felel. A speciális szabású, 4 pontos rögzítési rendszer egyenletesen osztja el a maszkra nehezedő nyomást a fejtetőn és a tarkón, így megakadályozza a maszk elcsúszását alvási pozícióváltás közben is anélkül, hogy túlzott szorítást kellene alkalmazni. Bőrbarát, puha szegélyei nem hagynak mély nyomokat az arcon.
</t>
    </r>
    <r>
      <rPr>
        <b/>
        <sz val="11"/>
        <color theme="1"/>
        <rFont val="Calibri"/>
        <family val="2"/>
        <charset val="238"/>
        <scheme val="minor"/>
      </rPr>
      <t>Beállítás és használat:</t>
    </r>
    <r>
      <rPr>
        <sz val="11"/>
        <color theme="1"/>
        <rFont val="Calibri"/>
        <family val="2"/>
        <charset val="238"/>
        <scheme val="minor"/>
      </rPr>
      <t xml:space="preserve">
A fejpánt végein található tartós mikro-tépőzárak segítségével a pántok mérete és feszessége millimeteres pontossággal személyre szabható. A felső pántok a homlokrész optimális dőlésszögéért, az alsó pántok pedig a maszk orr- és száj körüli szivárgásmentes zárásáért felelnek.
</t>
    </r>
    <r>
      <rPr>
        <b/>
        <sz val="11"/>
        <color theme="1"/>
        <rFont val="Calibri"/>
        <family val="2"/>
        <charset val="238"/>
        <scheme val="minor"/>
      </rPr>
      <t>Tisztítás és karbantartás:</t>
    </r>
    <r>
      <rPr>
        <sz val="11"/>
        <color theme="1"/>
        <rFont val="Calibri"/>
        <family val="2"/>
        <charset val="238"/>
        <scheme val="minor"/>
      </rPr>
      <t xml:space="preserve">
A higiénia és az anyag rugalmasságának megőrzése érdekében hetente kézzel, langyos (legfeljebb 30°C-os), kímélő mosószeres vízben mossa át. Alaposan öblítse ki, majd fektetve hagyja szobahőmérsékleten megszáradni. Ne mossa mosógépben, ne centrifugázza és ne tegye szárítógépbe, mert a hő hatására a szálak megnyúlhatnak!
</t>
    </r>
    <r>
      <rPr>
        <b/>
        <sz val="11"/>
        <color theme="1"/>
        <rFont val="Calibri"/>
        <family val="2"/>
        <charset val="238"/>
        <scheme val="minor"/>
      </rPr>
      <t>Csereperiódus – A páciens felelőssége:</t>
    </r>
    <r>
      <rPr>
        <sz val="11"/>
        <color theme="1"/>
        <rFont val="Calibri"/>
        <family val="2"/>
        <charset val="238"/>
        <scheme val="minor"/>
      </rPr>
      <t xml:space="preserve">
A fejpánt a folyamatos éjszakai feszítés és a bőr természetes zsírossága miatt az idő múlásával elveszíti rugalmasságát, megnyúlik, ami a maszk túlhangolásához (túlhúzásához) és szivárgáshoz vezethet. Cseréje átlagosan 6–12 havonta javasolt a terápiás kényelem fenntartásához.
</t>
    </r>
    <r>
      <rPr>
        <b/>
        <sz val="11"/>
        <color theme="1"/>
        <rFont val="Calibri"/>
        <family val="2"/>
        <charset val="238"/>
        <scheme val="minor"/>
      </rPr>
      <t>Kompatibilitás:</t>
    </r>
    <r>
      <rPr>
        <sz val="11"/>
        <color theme="1"/>
        <rFont val="Calibri"/>
        <family val="2"/>
        <charset val="238"/>
        <scheme val="minor"/>
      </rPr>
      <t xml:space="preserve">
Löwenstein CARA Full Face (arcmaszk) valamennyi méretéhez (S, M, L). (Megjegyzés: a normál CARA orrmaszkhoz külön, kisebb fejpánt tartozik).</t>
    </r>
  </si>
  <si>
    <t>Eredeti Löwenstein 4 pontos rögzítésű fejpánt JOYCEeasy Full Face arcmaszkhoz. Légáteresztő, stabil tartású textilpánt precíz mikro-tépőzárakkal és egyszerű lecsatolást biztosító kialakítással a kényelmes éjszakai alváshoz.</t>
  </si>
  <si>
    <r>
      <rPr>
        <b/>
        <sz val="11"/>
        <color theme="1"/>
        <rFont val="Calibri"/>
        <family val="2"/>
        <charset val="238"/>
        <scheme val="minor"/>
      </rPr>
      <t>Funkció és ergonómia:</t>
    </r>
    <r>
      <rPr>
        <sz val="11"/>
        <color theme="1"/>
        <rFont val="Calibri"/>
        <family val="2"/>
        <charset val="238"/>
        <scheme val="minor"/>
      </rPr>
      <t xml:space="preserve">
A Löwenstein JOYCEeasy Full Face gyári fejpántja megbízható és szivárgásmentes illeszkedést nyújt az arcmaszk számára. A 4 pontos pántrendszer úgy lett kialakítva, hogy a maszk által kifejtett nyomást szétoszlassa a homlok és a tarkó között, ezáltal megelőzi a bőrpírt, a kellemetlen nyomáspontokat és a maszk éjszakai elmozdulását. A maszk alsó kapcsaihoz tökéletesen illeszkedve lehetővé teszi a gyors fel- és levételt anélkül, hogy a beállított feszességet minden este újra kellene állítani.
</t>
    </r>
    <r>
      <rPr>
        <b/>
        <sz val="11"/>
        <color theme="1"/>
        <rFont val="Calibri"/>
        <family val="2"/>
        <charset val="238"/>
        <scheme val="minor"/>
      </rPr>
      <t>Beállítás és használat:</t>
    </r>
    <r>
      <rPr>
        <sz val="11"/>
        <color theme="1"/>
        <rFont val="Calibri"/>
        <family val="2"/>
        <charset val="238"/>
        <scheme val="minor"/>
      </rPr>
      <t xml:space="preserve">
A tartós mikro-tépőzárakkal fokozatmentesen méretre szabható. A felső szárak rögzítik a homloktámasz helyzetét, míg az alsó szárak finom meghúzása biztosítja a száj és az orr körüli légmentes zárást. Kerülje a fejpánt túlzott megszorítását; a helyes beállítás mellett a maszk puha szilikonpárnája természetesen rásimul az arc kontúrjára.
</t>
    </r>
    <r>
      <rPr>
        <b/>
        <sz val="11"/>
        <color theme="1"/>
        <rFont val="Calibri"/>
        <family val="2"/>
        <charset val="238"/>
        <scheme val="minor"/>
      </rPr>
      <t>Tisztítás és ápolás:</t>
    </r>
    <r>
      <rPr>
        <sz val="11"/>
        <color theme="1"/>
        <rFont val="Calibri"/>
        <family val="2"/>
        <charset val="238"/>
        <scheme val="minor"/>
      </rPr>
      <t xml:space="preserve">
A fejpánt higiénikus állapotának és rugalmasságának megőrzése érdekében hetente kézzel, langyos (legfeljebb 30°C-os), enyhe tisztítószeres vízben mossa ki. Tiszta vízzel alaposan öblítse át, majd hagyja szobahőmérsékleten, közvetlen hőtől (radiátor, tűző nap) védve megszáradni. Mosógépben nem mosható, centrifugázni vagy szárítógépbe tenni tilos.
</t>
    </r>
    <r>
      <rPr>
        <b/>
        <sz val="11"/>
        <color theme="1"/>
        <rFont val="Calibri"/>
        <family val="2"/>
        <charset val="238"/>
        <scheme val="minor"/>
      </rPr>
      <t xml:space="preserve">Csereperiódus – A páciens felelőssége:
</t>
    </r>
    <r>
      <rPr>
        <sz val="11"/>
        <color theme="1"/>
        <rFont val="Calibri"/>
        <family val="2"/>
        <charset val="238"/>
        <scheme val="minor"/>
      </rPr>
      <t xml:space="preserve">A rendszeres mindennapi feszítés és a természetes bőrolajok hatására a textil szálai idővel megnyúlnak, a tépőzárak tapadása gyengülhet. A hatékony terápia és a stabil illeszkedés fenntartása érdekében a fejpánt cseréje 6–12 havonta indokolt.
</t>
    </r>
    <r>
      <rPr>
        <b/>
        <sz val="11"/>
        <color theme="1"/>
        <rFont val="Calibri"/>
        <family val="2"/>
        <charset val="238"/>
        <scheme val="minor"/>
      </rPr>
      <t>Kompatibilitás:</t>
    </r>
    <r>
      <rPr>
        <sz val="11"/>
        <color theme="1"/>
        <rFont val="Calibri"/>
        <family val="2"/>
        <charset val="238"/>
        <scheme val="minor"/>
      </rPr>
      <t xml:space="preserve">
Löwenstein JOYCEeasy Full Face (arcmaszk) valamennyi méretéhez (S, M, L), valamint kompatibilis a korábbi JOYCE SilkGel Full Face maszkvázakkal is.</t>
    </r>
  </si>
  <si>
    <t>Eredeti Löwenstein ergonómikus 4 pontos fejpánt JOYCEone Full Face arcmaszkhoz. Univerzális illeszkedést biztosító elasztikus kialakítás, színkódolt rögzítőkapcsokkal a gyors fel- és levételért.</t>
  </si>
  <si>
    <r>
      <rPr>
        <b/>
        <sz val="11"/>
        <color theme="1"/>
        <rFont val="Calibri"/>
        <family val="2"/>
        <charset val="238"/>
        <scheme val="minor"/>
      </rPr>
      <t>Funkció és ergonómia:</t>
    </r>
    <r>
      <rPr>
        <sz val="11"/>
        <color theme="1"/>
        <rFont val="Calibri"/>
        <family val="2"/>
        <charset val="238"/>
        <scheme val="minor"/>
      </rPr>
      <t xml:space="preserve">
A Löwenstein JOYCEone Full Face fejpánt kifejezetten az „egyméretes” koncepciójú JOYCEone arcmaszkhoz készült. Különleges, rugalmas szövésű anyaga és anatómiailag formázott vonalvezetése révén szinte minden fejformához automatikusan és optimálisan idomul anélkül, hogy túlszorítaná az arcbőrt. A 4 pontos rögzítési rendszer stabilan tartja a maszkot az éjszakai forgolódás során is, megelőzve a maszk elcsúszását és a szemszárazságot okozó légszivárgást.
</t>
    </r>
    <r>
      <rPr>
        <b/>
        <sz val="11"/>
        <color theme="1"/>
        <rFont val="Calibri"/>
        <family val="2"/>
        <charset val="238"/>
        <scheme val="minor"/>
      </rPr>
      <t>Használat és színkódolt pántvezetés:</t>
    </r>
    <r>
      <rPr>
        <sz val="11"/>
        <color theme="1"/>
        <rFont val="Calibri"/>
        <family val="2"/>
        <charset val="238"/>
        <scheme val="minor"/>
      </rPr>
      <t xml:space="preserve">
A fejpánt intuitív kialakítású: a pántvégek és a kapcsok színkódolása segít abban, hogy a páciens még félhomályban is azonnal lássa, melyik pánt hová illeszkedik, elkerülve a maszk helytelen vagy elcsavart felhelyezését. A finom mikro-tépőzárakkal az alapfeszesség egy mozdulattal beállítható, a mindennapokban pedig a gyorsrögzítő kapcsokkal egyszerűen le- és felvehető.
</t>
    </r>
    <r>
      <rPr>
        <b/>
        <sz val="11"/>
        <color theme="1"/>
        <rFont val="Calibri"/>
        <family val="2"/>
        <charset val="238"/>
        <scheme val="minor"/>
      </rPr>
      <t>Tisztítás és karbantartás:</t>
    </r>
    <r>
      <rPr>
        <sz val="11"/>
        <color theme="1"/>
        <rFont val="Calibri"/>
        <family val="2"/>
        <charset val="238"/>
        <scheme val="minor"/>
      </rPr>
      <t xml:space="preserve">
A textil higiénikus tisztaságának és rugalmasságának megőrzése érdekében tisztítsa hetente kézzel, legfeljebb 30°C-os langyos, kímélő mosószeres vízben. Öblítse át alaposan tiszta vízzel, majd fektetve hagyja szobahőmérsékleten megszáradni. Mosógépbe, szárítógépbe tenni vagy közvetlen hőforráson (pl. fűtőtesten) szárítani tilos, mert a szálak elveszítik tartásukat!
</t>
    </r>
    <r>
      <rPr>
        <b/>
        <sz val="11"/>
        <color theme="1"/>
        <rFont val="Calibri"/>
        <family val="2"/>
        <charset val="238"/>
        <scheme val="minor"/>
      </rPr>
      <t>Csereperiódus – A páciens felelőssége:</t>
    </r>
    <r>
      <rPr>
        <sz val="11"/>
        <color theme="1"/>
        <rFont val="Calibri"/>
        <family val="2"/>
        <charset val="238"/>
        <scheme val="minor"/>
      </rPr>
      <t xml:space="preserve">
A mindennapi mechanikai terhelés, az izzadtság és a bőr természetes zsírtartalma miatt a fejpánt elasztikus szálai idővel elfáradnak és megnyúlnak. A hatékony és kényelmes alvásterápia érdekében a fejpánt cseréje 6–12 havonta javasolt.
</t>
    </r>
    <r>
      <rPr>
        <b/>
        <sz val="11"/>
        <color theme="1"/>
        <rFont val="Calibri"/>
        <family val="2"/>
        <charset val="238"/>
        <scheme val="minor"/>
      </rPr>
      <t>Kompatibilitás:</t>
    </r>
    <r>
      <rPr>
        <sz val="11"/>
        <color theme="1"/>
        <rFont val="Calibri"/>
        <family val="2"/>
        <charset val="238"/>
        <scheme val="minor"/>
      </rPr>
      <t xml:space="preserve">
Löwenstein JOYCEone Full Face (arcmaszk). (Megjegyzés: a normál JOYCEone orrmaszkhoz külön, kisebb méretű fejpánt tartozik).</t>
    </r>
  </si>
  <si>
    <t>Eredeti Philips Respironics 4 pontos rögzítésű fejpánt kisebb méretben (Reduced Size - RS) Amara és Amara Gel Full Face arcmaszkokhoz. Kifejezetten kisebb fejmérethez és hölgyeknek tervezve a stabil, szivárgásmentes illeszkedésért.</t>
  </si>
  <si>
    <r>
      <rPr>
        <b/>
        <sz val="11"/>
        <rFont val="Calibri"/>
        <family val="2"/>
        <charset val="238"/>
        <scheme val="minor"/>
      </rPr>
      <t>Funkció és ergonómia:</t>
    </r>
    <r>
      <rPr>
        <sz val="11"/>
        <rFont val="Calibri"/>
        <family val="2"/>
        <charset val="238"/>
        <scheme val="minor"/>
      </rPr>
      <t xml:space="preserve">
A Philips Amara RS (Reduced Size) fejpánt a kisebb fejkörmérettel rendelkező páciensek számára nyújt optimális és biztonságos rögzítést. A standard méretű pántok kisméretű fej esetén gyakran túl lazák maradnak, vagy a tépőzárak ütközésig történő behúzása sem biztosít megfelelő feszességet. Ez a csökkentett méretű, 4 pontos fejpánt megszünteti a túlhúzási kényszert, egyenletesen oszlatja el a nyomást a tarkón és a fejtetőn, megelőzve a maszk elcsúszását és a szem felé irányuló légszivárgást.
</t>
    </r>
    <r>
      <rPr>
        <b/>
        <sz val="11"/>
        <rFont val="Calibri"/>
        <family val="2"/>
        <charset val="238"/>
        <scheme val="minor"/>
      </rPr>
      <t>Beállítás és használat:</t>
    </r>
    <r>
      <rPr>
        <sz val="11"/>
        <rFont val="Calibri"/>
        <family val="2"/>
        <charset val="238"/>
        <scheme val="minor"/>
      </rPr>
      <t xml:space="preserve">
A pánt szárain elhelyezett tartós mikro-tépőzárak segítségével a fejpánt milliméteres pontossággal az arcformához igazítható. A felső pántok a homloktámasz pozícióját rögzítik, az alsó pántok pedig az arcmaszk alsó gyorscsatlakozó kapcsaihoz kapcsolódnak, így a maszk a mindennapokban a beállítások elállítása nélkül, egy mozdulattal fel- és levehető.
</t>
    </r>
    <r>
      <rPr>
        <b/>
        <sz val="11"/>
        <rFont val="Calibri"/>
        <family val="2"/>
        <charset val="238"/>
        <scheme val="minor"/>
      </rPr>
      <t>Tisztítás és karbantartás:</t>
    </r>
    <r>
      <rPr>
        <sz val="11"/>
        <rFont val="Calibri"/>
        <family val="2"/>
        <charset val="238"/>
        <scheme val="minor"/>
      </rPr>
      <t xml:space="preserve">
A higiénikus használat és az anyag rugalmasságának megőrzése érdekében tisztítsa hetente kézzel, langyos (legfeljebb 30°C-os), enyhe folyékony szappanos vízben. Öblítse ki alaposan, és hagyja kiterítve, szobahőmérsékleten, közvetlen hőtől védve megszáradni. Ne mossa mosógépben, és ne szárítsa szárítógépben, mert az elasztikus szálak megnyúlhatnak!
</t>
    </r>
    <r>
      <rPr>
        <b/>
        <sz val="11"/>
        <rFont val="Calibri"/>
        <family val="2"/>
        <charset val="238"/>
        <scheme val="minor"/>
      </rPr>
      <t>Csereperiódus – A páciens felelőssége:</t>
    </r>
    <r>
      <rPr>
        <sz val="11"/>
        <rFont val="Calibri"/>
        <family val="2"/>
        <charset val="238"/>
        <scheme val="minor"/>
      </rPr>
      <t xml:space="preserve">
Az állandó mechanikai terhelés és a bőrzsírok hatására a fejpánt szálai idővel elveszítik tartásukat és rugalmasságukat. A stabil terápia és a szivárgásmentes kényelem megőrzése érdekében a fejpánt cseréje 6–12 havonta javasolt.
</t>
    </r>
    <r>
      <rPr>
        <b/>
        <sz val="11"/>
        <rFont val="Calibri"/>
        <family val="2"/>
        <charset val="238"/>
        <scheme val="minor"/>
      </rPr>
      <t>Kompatibilitás:</t>
    </r>
    <r>
      <rPr>
        <sz val="11"/>
        <rFont val="Calibri"/>
        <family val="2"/>
        <charset val="238"/>
        <scheme val="minor"/>
      </rPr>
      <t xml:space="preserve">
Philips Respironics Amara (szilikon párnás arcmaszk) és Philips Respironics Amara Gel (gélpárnás arcmaszk) valamennyi méretéhez (P, S, M, L).</t>
    </r>
  </si>
  <si>
    <t>Eredeti Philips Respironics 5 pontos rögzítésű fejpánt nagy méretben (Large - L) Amara View Full Face arcmaszkhoz. Kifejezetten nagyobb fejmérethez tervezett, nyitott látómezőt és stabil alátámasztást biztosító ergonomikus kialakítás.</t>
  </si>
  <si>
    <t xml:space="preserve">Funkció és ergonómia:A Philips Amara View Large méretű fejpánt a nagyobb fejkörmérettel rendelkező páciensek számára nyújt biztonságos, stabil és nyomáspontmentes rögzítést. Mivel az Amara View nem rendelkezik homloktámasszal, a maszk szivárgásmentes tartásáért egy speciális, fejtetőn átívelő pánttal kiegészített 5 pontos rögzítési rendszer felel. Ez a kialakítás megakadályozza a maszk lefelé vagy oldalra csúszását még intenzív éjszakai forgolódás esetén is, miközben teljesen szabadon hagyja a szemmagasságot a tévézéshez vagy olvasáshoz.   Beállítás és használat:A fejpánt szárain található mikro-tépőzárakkal a feszesség és a magasság pontosan az arcformához állítható. Az alsó pántok a maszk mágneses gyorscsatlakozó kapcsaihoz illeszkednek, így a maszk a mindennapi használat során a pántok megbontása nélkül, másodpercek alatt fel- és levehető.Tisztítás és karbantartás:A megfelelő higiénia és az anyag élettartamának megőrzése érdekében hetente kézzel, langyos (legfeljebb 30°C-os), semleges mosószeres vagy szappanos vízben tisztítsa meg. Alaposan öblítse át folyó vízzel, majd kiterítve, szobahőmérsékleten hagyja megszáradni. Ne tegye mosógépbe, ne centrifugázza és óvja a közvetlen hőtől (radiátor, erős napfény).Csereperiódus – A páciens felelőssége:A folyamatos mechanikai feszítés, az éjszakai izzadtság és a bőrzsírok hatására a pántok idővel veszítenek elasztikusságukból és megnyúlnak, ami a maszk szivárgásához vezethet. A stabil és hatékony terápia fenntartása érdekében a fejpánt cseréje 6–12 havonta javasolt.Kompatibilitás:Kizárólag a Philips Respironics Amara View Full Face (orr alatti arcmaszk) rendszerrel kompatibilis (bármely méretű Amara View maszkpárnával használható). (Fontos: a hagyományos homloktámaszos Amara / Amara Gel maszkokkal nem kompatibilis). </t>
  </si>
  <si>
    <t>Eredeti Philips Respironics mágneses gyorsrögzítő csatkészlet (2 db) Amara View Full Face arcmaszkhoz. Lehetővé teszi a maszk másodpercek alatti fel- és levételét anélkül, hogy a beállított fejpántfeszességet el kellene állítani.</t>
  </si>
  <si>
    <r>
      <rPr>
        <b/>
        <sz val="11"/>
        <color theme="1"/>
        <rFont val="Calibri"/>
        <family val="2"/>
        <charset val="238"/>
        <scheme val="minor"/>
      </rPr>
      <t>Funkció és kényelem:</t>
    </r>
    <r>
      <rPr>
        <sz val="11"/>
        <color theme="1"/>
        <rFont val="Calibri"/>
        <family val="2"/>
        <charset val="238"/>
        <scheme val="minor"/>
      </rPr>
      <t xml:space="preserve">
A Philips Amara View fejpántcsat készlet két darab eredeti mágneses rögzítőkapcsot tartalmaz, amelyek a fejpánt alsó szárait kapcsolják a maszkvázhoz. A beépített mágneses mechanizmus révén a maszk egyetlen mozdulattal rögzíthető vagy lecsatolható, megkímélve a pácienst a tépőzárak éjszakai bontogatásától és a maszkkeret felesleges terhelésétől.   
</t>
    </r>
    <r>
      <rPr>
        <b/>
        <sz val="11"/>
        <color theme="1"/>
        <rFont val="Calibri"/>
        <family val="2"/>
        <charset val="238"/>
        <scheme val="minor"/>
      </rPr>
      <t>Használat:</t>
    </r>
    <r>
      <rPr>
        <sz val="11"/>
        <color theme="1"/>
        <rFont val="Calibri"/>
        <family val="2"/>
        <charset val="238"/>
        <scheme val="minor"/>
      </rPr>
      <t xml:space="preserve">
Fűzze be a fejpánt alsó szárait a csatokon található réseken keresztül, majd állítsa be a kívánt feszességet a tépőzárral. Ezt követően a csatok a maszkvázon kialakított fogadóprofilhoz mágnesesen maguktól a helyükre ugranak és reteszelődnek.
</t>
    </r>
    <r>
      <rPr>
        <b/>
        <sz val="11"/>
        <color theme="1"/>
        <rFont val="Calibri"/>
        <family val="2"/>
        <charset val="238"/>
        <scheme val="minor"/>
      </rPr>
      <t>Tisztítás és karbantartás:</t>
    </r>
    <r>
      <rPr>
        <sz val="11"/>
        <color theme="1"/>
        <rFont val="Calibri"/>
        <family val="2"/>
        <charset val="238"/>
        <scheme val="minor"/>
      </rPr>
      <t xml:space="preserve">
Hetente tisztítsa meg langyos, enyhe tisztítószeres vízzel a fejpánt mosásakor. Kerülje az erős dörzsölést és az agresszív háztartási tisztítószereket. Szárazra törölve azonnal újra használható.
</t>
    </r>
    <r>
      <rPr>
        <b/>
        <sz val="11"/>
        <color theme="1"/>
        <rFont val="Calibri"/>
        <family val="2"/>
        <charset val="238"/>
        <scheme val="minor"/>
      </rPr>
      <t xml:space="preserve">
Biztonsági figyelmeztetés (Mágneses mező):
</t>
    </r>
    <r>
      <rPr>
        <sz val="11"/>
        <color theme="1"/>
        <rFont val="Calibri"/>
        <family val="2"/>
        <charset val="238"/>
        <scheme val="minor"/>
      </rPr>
      <t xml:space="preserve">A csatokban található mágnesek miatt a maszk rögzítőelemeit tartsa legalább 5 cm (2 hüvelyk) távolságban az aktív orvosi implantátumoktól (pl. szívritmus-szabályozó / pacemaker, defibrillátor, intrakraniális aneurizma klippek vagy egyéb ferromágneses fém implantátumok).
</t>
    </r>
    <r>
      <rPr>
        <b/>
        <sz val="11"/>
        <color theme="1"/>
        <rFont val="Calibri"/>
        <family val="2"/>
        <charset val="238"/>
        <scheme val="minor"/>
      </rPr>
      <t>Kompatibilitás:</t>
    </r>
    <r>
      <rPr>
        <sz val="11"/>
        <color theme="1"/>
        <rFont val="Calibri"/>
        <family val="2"/>
        <charset val="238"/>
        <scheme val="minor"/>
      </rPr>
      <t xml:space="preserve">
Kizárólag a Philips Respironics Amara View Full Face arcmaszk rendszerrel és fejpánttal kompatibilis. </t>
    </r>
  </si>
  <si>
    <t>Eredeti Philips Respironics mágneses fejpántcsat készlet (2 db) DreamWear Full Face arcmaszkhoz. Gyors, egyszerű fel- és levételt tesz lehetővé a beállított fejpántfeszesség megbontása nélkül.</t>
  </si>
  <si>
    <r>
      <rPr>
        <b/>
        <sz val="11"/>
        <color theme="1"/>
        <rFont val="Calibri"/>
        <family val="2"/>
        <charset val="238"/>
        <scheme val="minor"/>
      </rPr>
      <t>Funkció és kényelem:</t>
    </r>
    <r>
      <rPr>
        <sz val="11"/>
        <color theme="1"/>
        <rFont val="Calibri"/>
        <family val="2"/>
        <charset val="238"/>
        <scheme val="minor"/>
      </rPr>
      <t xml:space="preserve">
A Philips Respironics gyári mágneses rögzítőcsat készlete kifejezetten a DreamWear Full Face arcmaszk alsó fejpántszáraihoz készült. A beépített mágnesek segítségével a maszk alsó támasztása egyetlen könnyed mozdulattal rögzíthető a maszkpárna alsó füleihez, illetve levételkor pillanatok alatt lecsatolható. Megszünteti a mindennapos tépőzárazást, így megvédi a fejpánt anyagát a korai elhasználódástól és megőrzi az ideális méretbeállítást.
</t>
    </r>
    <r>
      <rPr>
        <b/>
        <sz val="11"/>
        <color theme="1"/>
        <rFont val="Calibri"/>
        <family val="2"/>
        <charset val="238"/>
        <scheme val="minor"/>
      </rPr>
      <t>Használat:</t>
    </r>
    <r>
      <rPr>
        <sz val="11"/>
        <color theme="1"/>
        <rFont val="Calibri"/>
        <family val="2"/>
        <charset val="238"/>
        <scheme val="minor"/>
      </rPr>
      <t xml:space="preserve">
Fűzze át a DreamWear Full Face fejpánt alsó szárait a csatok résein, majd a mikro-tépőzárak segítségével állítsa be az arcformájához illeszkedő, kényelmes feszességet. A csatok a maszk alsó részéhez közelítve automatikusan a helyükre ugranak és szilárdan rögzülnek.
</t>
    </r>
    <r>
      <rPr>
        <b/>
        <sz val="11"/>
        <color theme="1"/>
        <rFont val="Calibri"/>
        <family val="2"/>
        <charset val="238"/>
        <scheme val="minor"/>
      </rPr>
      <t>Tisztítás és karbantartás:</t>
    </r>
    <r>
      <rPr>
        <sz val="11"/>
        <color theme="1"/>
        <rFont val="Calibri"/>
        <family val="2"/>
        <charset val="238"/>
        <scheme val="minor"/>
      </rPr>
      <t xml:space="preserve">
A csatok a heti fejpánttisztítás során kézzel, legfeljebb 30°C-os, enyhe mosószeres vízben átmoshatók. Alaposan öblítse le őket tiszta vízzel, majd törölje szárazra. Ne tegye mosogatógépbe vagy mosógépbe.
</t>
    </r>
    <r>
      <rPr>
        <b/>
        <sz val="11"/>
        <color theme="1"/>
        <rFont val="Calibri"/>
        <family val="2"/>
        <charset val="238"/>
        <scheme val="minor"/>
      </rPr>
      <t>Biztonsági figyelmeztetés (Mágneses mező):</t>
    </r>
    <r>
      <rPr>
        <sz val="11"/>
        <color theme="1"/>
        <rFont val="Calibri"/>
        <family val="2"/>
        <charset val="238"/>
        <scheme val="minor"/>
      </rPr>
      <t xml:space="preserve">
A csatokban található erős mágnesek miatt a maszk ezen alkatrészeit tartsa legalább 5 cm (2 hüvelyk) távolságban az aktív orvosi implantátumoktól (pl. pacemaker / szívritmus-szabályozó, beültetett defibrillátor, idegstimulátor, intracranialis fémklippek).
</t>
    </r>
    <r>
      <rPr>
        <b/>
        <sz val="11"/>
        <color theme="1"/>
        <rFont val="Calibri"/>
        <family val="2"/>
        <charset val="238"/>
        <scheme val="minor"/>
      </rPr>
      <t>Kompatibilitás:</t>
    </r>
    <r>
      <rPr>
        <sz val="11"/>
        <color theme="1"/>
        <rFont val="Calibri"/>
        <family val="2"/>
        <charset val="238"/>
        <scheme val="minor"/>
      </rPr>
      <t xml:space="preserve">
Kizárólag a Philips Respironics DreamWear Full Face (arcmaszk) rendszerrel és annak alsó száras fejpántjával kompatibilis. (Nem használható a tisztán orr alatti DreamWear Nasal vagy Gel Pillows fejpántokhoz, mivel azok nem rendelkeznek alsó mágneses rögzítési ponttal).</t>
    </r>
  </si>
  <si>
    <t>philips-dreamwear-full-face-magneses-csat-1133454</t>
  </si>
  <si>
    <t>Philips DreamWear Full Face mágneses csat 1133454 | Alvásterápia</t>
  </si>
  <si>
    <t>Eredeti Philips Respironics mágneses fejpánt csatkészlet (2 db) DreamWear Full Face CPAP arcmaszkhoz. Gyors fel- és levétel, precíz illeszkedés. Rendelje meg!</t>
  </si>
  <si>
    <t>lowenstein-joyceeasy-kilegzo-konyokadapter-wm15798</t>
  </si>
  <si>
    <t>Löwenstein JOYCEeasy kilégző könyök WM15798 | Alvásterápia</t>
  </si>
  <si>
    <t>Gyári Löwenstein WM15798 gömbcsuklós kilégző könyökadapter készlet JOYCEeasy CPAP orrmaszkhoz. Megbízható szén-dioxid elvezetés és szabad mozgás. Rendelje meg!</t>
  </si>
  <si>
    <t>Eredeti Löwenstein 360 fokban forgó gömbcsuklós kilégző könyökadapter készlet JOYCEeasy CPAP orrmaszkhoz. Beépített kilégzőnyílásokkal és a gégecső szabad mozgását biztosító forgó csatlakozóval a stabil terápia érdekében.</t>
  </si>
  <si>
    <r>
      <rPr>
        <b/>
        <sz val="11"/>
        <color theme="1"/>
        <rFont val="Calibri"/>
        <family val="2"/>
        <charset val="238"/>
        <scheme val="minor"/>
      </rPr>
      <t>Funkció és felhasználás:</t>
    </r>
    <r>
      <rPr>
        <sz val="11"/>
        <color theme="1"/>
        <rFont val="Calibri"/>
        <family val="2"/>
        <charset val="238"/>
        <scheme val="minor"/>
      </rPr>
      <t xml:space="preserve">
A Löwenstein WM 15798 gyári pótalkatrész a JOYCEeasy orrmaszkhoz. Erre a kiegészítőre akkor van szükség, ha a maszk eredeti könyöke, gömbcsuklója vagy rögzítőgyűrűje megsérült, megkopott vagy eltört. A beépített gömbcsukló és a 360 fokban forgó karmantyú biztosítja a cső mozgásszabadságát, megelőzve a maszk elhúzódását és a levegőszivárgást alvás közben.
</t>
    </r>
    <r>
      <rPr>
        <b/>
        <sz val="11"/>
        <color theme="1"/>
        <rFont val="Calibri"/>
        <family val="2"/>
        <charset val="238"/>
        <scheme val="minor"/>
      </rPr>
      <t>Kilégzőrendszer:</t>
    </r>
    <r>
      <rPr>
        <sz val="11"/>
        <color theme="1"/>
        <rFont val="Calibri"/>
        <family val="2"/>
        <charset val="238"/>
        <scheme val="minor"/>
      </rPr>
      <t xml:space="preserve">
A könyökidom oldalán kialakított rések a terápiás túlnyomással folyamatosan öblítik át a maszk belső terét, megbízhatóan elvezetve a kilélegzett szén-dioxidot.
</t>
    </r>
    <r>
      <rPr>
        <b/>
        <sz val="11"/>
        <color theme="1"/>
        <rFont val="Calibri"/>
        <family val="2"/>
        <charset val="238"/>
        <scheme val="minor"/>
      </rPr>
      <t>A készlet tartalma:</t>
    </r>
    <r>
      <rPr>
        <sz val="11"/>
        <color theme="1"/>
        <rFont val="Calibri"/>
        <family val="2"/>
        <charset val="238"/>
        <scheme val="minor"/>
      </rPr>
      <t xml:space="preserve">
• 1 db rögzítőgyűrű a maszktesthez való rögzítéshez
• 1 db könyökidom beépített kilégzőnyílásokkal
• 1 db forgatható gégecső-csatlakozó karmantyú (standard 22 mm)
</t>
    </r>
    <r>
      <rPr>
        <b/>
        <sz val="11"/>
        <color theme="1"/>
        <rFont val="Calibri"/>
        <family val="2"/>
        <charset val="238"/>
        <scheme val="minor"/>
      </rPr>
      <t>Felszerelés és tisztítás:</t>
    </r>
    <r>
      <rPr>
        <sz val="11"/>
        <color theme="1"/>
        <rFont val="Calibri"/>
        <family val="2"/>
        <charset val="238"/>
        <scheme val="minor"/>
      </rPr>
      <t xml:space="preserve">
• Felszerelés: Pattintsa a gyűrűt és a könyökadaptert szilárdan a maszktestre, amíg az stabilan a helyére nem ugrik.
• Kezelés a felszerelés után: Miután a helyére került, az alkatrész a maszk szerves részét képezi. A mindennapi használat és a tisztítás során a maszkot egy egységként kell elmosni langyos, enyhe mosogatószeres vízben. Mosás után hagyja az egész maszkot szobahőmérsékleten teljesen megszáradni.
</t>
    </r>
    <r>
      <rPr>
        <b/>
        <sz val="11"/>
        <color theme="1"/>
        <rFont val="Calibri"/>
        <family val="2"/>
        <charset val="238"/>
        <scheme val="minor"/>
      </rPr>
      <t>Kompatibilitás:</t>
    </r>
    <r>
      <rPr>
        <sz val="11"/>
        <color theme="1"/>
        <rFont val="Calibri"/>
        <family val="2"/>
        <charset val="238"/>
        <scheme val="minor"/>
      </rPr>
      <t xml:space="preserve">
Kizárólag a Löwenstein JOYCEeasy orrmaszkhoz (nasal) használható. (Full Face / arcmaszkokhoz nem használható, mert azok biztonsági szelepes könyököt igényelnek).</t>
    </r>
  </si>
  <si>
    <t>kilégző adapter J.Easy</t>
  </si>
  <si>
    <t>kilégző adapter J.ONE</t>
  </si>
  <si>
    <t>Eredeti Löwenstein 360 fokban forgó gömbcsuklós kilégző könyökadapter készlet JOYCEone CPAP orrmaszkhoz (WM 15908). Beépített kilégzőnyílásokkal és a gégecső szabad mozgását biztosító forgó csatlakozóval a stabil terápia érdekében.</t>
  </si>
  <si>
    <r>
      <rPr>
        <b/>
        <sz val="11"/>
        <color theme="1"/>
        <rFont val="Calibri"/>
        <family val="2"/>
        <charset val="238"/>
        <scheme val="minor"/>
      </rPr>
      <t>Funkció és felhasználás:</t>
    </r>
    <r>
      <rPr>
        <sz val="11"/>
        <color theme="1"/>
        <rFont val="Calibri"/>
        <family val="2"/>
        <charset val="238"/>
        <scheme val="minor"/>
      </rPr>
      <t xml:space="preserve">
A Löwenstein WM 15908 gyári pótalkatrész a JOYCEone orrmaszkhoz. Erre a kiegészítőre akkor van szükség, ha a meglévő maszk eredeti könyöke, gömbcsuklója vagy rögzítőgyűrűje a rendszeres használat során megsérült, megkopott vagy eltört. A beépített gömbcsukló és a 360 fokban forgó karmantyú biztosítja a gégecső mozgásszabadságát, megelőzve a merev húzóerők miatti elmozdulást és a kellemetlen szivárgást alvás közben.
</t>
    </r>
    <r>
      <rPr>
        <b/>
        <sz val="11"/>
        <color theme="1"/>
        <rFont val="Calibri"/>
        <family val="2"/>
        <charset val="238"/>
        <scheme val="minor"/>
      </rPr>
      <t>Kilégzőrendszer:</t>
    </r>
    <r>
      <rPr>
        <sz val="11"/>
        <color theme="1"/>
        <rFont val="Calibri"/>
        <family val="2"/>
        <charset val="238"/>
        <scheme val="minor"/>
      </rPr>
      <t xml:space="preserve">
A könyökidom oldalán kialakított rések a terápiás túlnyomással folyamatosan öblítik át a maszk belső terét, megbízhatóan elvezetve a kilélegzett szén-dioxidot a légzőkörből.
</t>
    </r>
    <r>
      <rPr>
        <b/>
        <sz val="11"/>
        <color theme="1"/>
        <rFont val="Calibri"/>
        <family val="2"/>
        <charset val="238"/>
        <scheme val="minor"/>
      </rPr>
      <t>A készlet tartalma:</t>
    </r>
    <r>
      <rPr>
        <sz val="11"/>
        <color theme="1"/>
        <rFont val="Calibri"/>
        <family val="2"/>
        <charset val="238"/>
        <scheme val="minor"/>
      </rPr>
      <t xml:space="preserve">
• 1 db rögzítőgyűrű a maszktesthez való rögzítéshez
• 1 db könyökidom beépített kilégzőnyílásokkal
• 1 db 360 fokban elforgatható gégecső-csatlakozó karmantyú (standard 22 mm)
</t>
    </r>
    <r>
      <rPr>
        <b/>
        <sz val="11"/>
        <color theme="1"/>
        <rFont val="Calibri"/>
        <family val="2"/>
        <charset val="238"/>
        <scheme val="minor"/>
      </rPr>
      <t>Felszerelés és tisztítás:</t>
    </r>
    <r>
      <rPr>
        <sz val="11"/>
        <color theme="1"/>
        <rFont val="Calibri"/>
        <family val="2"/>
        <charset val="238"/>
        <scheme val="minor"/>
      </rPr>
      <t xml:space="preserve">
• Felszerelés: Pattintsa a rögzítőgyűrűt és a könyökidomot stabilan a JOYCEone orrmaszk vázára, amíg az biztonságosan a helyére nem ugrik.
• Kezelés a felszerelés után: Miután a helyére került, az alkatrész a maszk szerves részét képezi. A mindennapi használat és a tisztítás során a maszkot egy egységként kell elmosni langyos, enyhe mosogatószeres vízben. Mosás után hagyja az egész maszkot szobahőmérsékleten teljesen megszáradni.
</t>
    </r>
    <r>
      <rPr>
        <b/>
        <sz val="11"/>
        <color theme="1"/>
        <rFont val="Calibri"/>
        <family val="2"/>
        <charset val="238"/>
        <scheme val="minor"/>
      </rPr>
      <t>Kompatibilitás:</t>
    </r>
    <r>
      <rPr>
        <sz val="11"/>
        <color theme="1"/>
        <rFont val="Calibri"/>
        <family val="2"/>
        <charset val="238"/>
        <scheme val="minor"/>
      </rPr>
      <t xml:space="preserve">
Kizárólag a Löwenstein JOYCEone orrmaszkhoz (nasal) használható. (Full Face / arcmaszkokhoz nem használható, mert az arcmaszkok speciális, biztonsági szeleppel ellátott könyököt igényelnek).</t>
    </r>
  </si>
  <si>
    <t>lowenstein-joyceone-kilegzo-konyokadapter-wm15908</t>
  </si>
  <si>
    <t>Löwenstein JOYCEone kilégző könyök WM15908 | Alvásterápia</t>
  </si>
  <si>
    <t>Gyári Löwenstein WM15908 gömbcsuklós kilégző könyökadapter JOYCEone CPAP orrmaszkhoz. Megbízható szén-dioxid elvezetés és mozgásszabadság. Rendelje meg!</t>
  </si>
  <si>
    <t>kilégző adapter Lena</t>
  </si>
  <si>
    <t>Eredeti Löwenstein 360 fokban forgó gömbcsuklós kilégző könyökadapter készlet biztonsági fulladásgátló szeleppel LENA Full Face arcmaszkhoz (LMT 15969). Megbízható szén-dioxid elvezetés és gégecső-mozgásszabadság magas terápiás nyomások mellett is.</t>
  </si>
  <si>
    <r>
      <rPr>
        <b/>
        <sz val="11"/>
        <color theme="1"/>
        <rFont val="Calibri"/>
        <family val="2"/>
        <charset val="238"/>
        <scheme val="minor"/>
      </rPr>
      <t>Funkció és felhasználás:</t>
    </r>
    <r>
      <rPr>
        <sz val="11"/>
        <color theme="1"/>
        <rFont val="Calibri"/>
        <family val="2"/>
        <charset val="238"/>
        <scheme val="minor"/>
      </rPr>
      <t xml:space="preserve">
A Löwenstein LMT 15969 gyári pótalkatrész a LENA Full Face (arc-) CPAP és lélegeztető maszkhoz. Erre a kiegészítőre akkor van szükség, ha a meglévő maszk könyökidoma, gömbcsuklója vagy rögzítőgyűrűje a mindennapos használat során megsérült, meglazult, elrepedt vagy eltört. A beépített gömbcsukló és a 360 fokban forgó karmantyú biztosítja a gégecső mozgásszabadságát, megelőzve a merev húzóerők miatti elmozdulást és a légszivárgást alvás vagy pozícióváltás közben.
</t>
    </r>
    <r>
      <rPr>
        <b/>
        <sz val="11"/>
        <color theme="1"/>
        <rFont val="Calibri"/>
        <family val="2"/>
        <charset val="238"/>
        <scheme val="minor"/>
      </rPr>
      <t>Biztonsági szelep és kilégzőrendszer:</t>
    </r>
    <r>
      <rPr>
        <sz val="11"/>
        <color theme="1"/>
        <rFont val="Calibri"/>
        <family val="2"/>
        <charset val="238"/>
        <scheme val="minor"/>
      </rPr>
      <t xml:space="preserve">
• Beépített biztonsági szelep (anti-asphyxia szelep): Full Face arcmaszk lévén az adapter fel van szerelve a gyári biztonsági szeleppel, amely a terápiás nyomás megszűnésekor (pl. áramszünet vagy a készülék véletlen leállása esetén) kinyit, lehetővé téve a szobalevegő akadálytalan belégzését.
• Kilégzőnyílások: A könyökidomon kialakított gyári szellőzőrések a terápiás nyomás révén folyamatosan átáramoltatják a maszk belső légterét, megbízhatóan elvezetve a kilélegzett szén-dioxidot a légzőkörből.
</t>
    </r>
    <r>
      <rPr>
        <b/>
        <sz val="11"/>
        <color theme="1"/>
        <rFont val="Calibri"/>
        <family val="2"/>
        <charset val="238"/>
        <scheme val="minor"/>
      </rPr>
      <t>A készlet tartalma:</t>
    </r>
    <r>
      <rPr>
        <sz val="11"/>
        <color theme="1"/>
        <rFont val="Calibri"/>
        <family val="2"/>
        <charset val="238"/>
        <scheme val="minor"/>
      </rPr>
      <t xml:space="preserve">
• 1 db könyökidom beépített kilégzőnyílásokkal és biztonsági szeleppel
• 1 db rögzítőgyűrű a maszktesthez való stabil rögzítéshez
• 1 db 360 fokban elforgatható gégecső-csatlakozó karmantyú (standard 22 mm)
</t>
    </r>
    <r>
      <rPr>
        <b/>
        <sz val="11"/>
        <color theme="1"/>
        <rFont val="Calibri"/>
        <family val="2"/>
        <charset val="238"/>
        <scheme val="minor"/>
      </rPr>
      <t>Felszerelés és tisztítás:</t>
    </r>
    <r>
      <rPr>
        <sz val="11"/>
        <color theme="1"/>
        <rFont val="Calibri"/>
        <family val="2"/>
        <charset val="238"/>
        <scheme val="minor"/>
      </rPr>
      <t xml:space="preserve">
• Felszerelés: Pattintsa a gyűrűt és a könyökidomot határozott mozdulattal a LENA maszkvázra, amíg az biztonságosan és stabilan a helyére nem ugrik.
• Kezelés a felszerelés után: Miután a helyére került, az adapter a maszk integrált részét képezi. A mindennapi használat és a higiéniai karbantartás során a maszkot egy egységként kell elmosni kézzel, langyos, kímélő mosogatószeres vízben. Mosás után hagyja az egész maszkot szobahőmérsékleten, közvetlen hőtől védve teljesen megszáradni, mielőtt újra a gégecsőhöz csatlakoztatja.
</t>
    </r>
    <r>
      <rPr>
        <b/>
        <sz val="11"/>
        <color theme="1"/>
        <rFont val="Calibri"/>
        <family val="2"/>
        <charset val="238"/>
        <scheme val="minor"/>
      </rPr>
      <t>Kompatibilitás:</t>
    </r>
    <r>
      <rPr>
        <sz val="11"/>
        <color theme="1"/>
        <rFont val="Calibri"/>
        <family val="2"/>
        <charset val="238"/>
        <scheme val="minor"/>
      </rPr>
      <t xml:space="preserve">
Kizárólag a Löwenstein LENA Full Face (arc-) maszkhoz használható. (Kialakítása és mérete miatt nem csereszabatos a JOYCE család vagy a CARA maszkok könyökeivel).</t>
    </r>
  </si>
  <si>
    <t>lowenstein-lena-full-face-kilegzo-konyokadapter-lmt15969</t>
  </si>
  <si>
    <t>Löwenstein LENA Full Face kilégző könyök LMT15969 | Alvásterápia</t>
  </si>
  <si>
    <t>Gyári Löwenstein LMT15969 kilégző könyökadapter készlet biztonsági szeleppel LENA Full Face arcmaszkhoz. Megbízható működés és mozgásszabadság. Rendelje meg!</t>
  </si>
  <si>
    <t>kilégző adapter J.Easy FF</t>
  </si>
  <si>
    <t>kilégző adapter J.ONE FF J.EASY NEXT FF</t>
  </si>
  <si>
    <t>Eredeti Löwenstein 360 fokban forgó gömbcsuklós kilégző könyökadapter készlet beépített biztonsági szeleppel JOYCEone Full Face és JOYCEeasy next Full Face arcmaszkokhoz.</t>
  </si>
  <si>
    <r>
      <rPr>
        <b/>
        <sz val="11"/>
        <color theme="1"/>
        <rFont val="Calibri"/>
        <family val="2"/>
        <charset val="238"/>
        <scheme val="minor"/>
      </rPr>
      <t>Funkció és felhasználás:</t>
    </r>
    <r>
      <rPr>
        <sz val="11"/>
        <color theme="1"/>
        <rFont val="Calibri"/>
        <family val="2"/>
        <charset val="238"/>
        <scheme val="minor"/>
      </rPr>
      <t xml:space="preserve">
A Löwenstein WM 15944 gyári pótalkatrész a JOYCEone Full Face és a JOYCEeasy next Full Face arcmaszkokhoz. Erre a kiegészítőre akkor van szükség, ha a meglévő maszk eredeti könyöke, gömbcsuklója vagy rögzítőgyűrűje megsérült, megkopott vagy eltört. A beépített gömbcsukló és a 360 fokban körbeforgó karmantyú biztosítja a gégecső mozgásszabadságát, megelőzve a merev húzóerők miatti elmozdulást és a szivárgást alvás közben.
</t>
    </r>
    <r>
      <rPr>
        <b/>
        <sz val="11"/>
        <color theme="1"/>
        <rFont val="Calibri"/>
        <family val="2"/>
        <charset val="238"/>
        <scheme val="minor"/>
      </rPr>
      <t>Biztonsági szelep és kilégzőrendszer:</t>
    </r>
    <r>
      <rPr>
        <sz val="11"/>
        <color theme="1"/>
        <rFont val="Calibri"/>
        <family val="2"/>
        <charset val="238"/>
        <scheme val="minor"/>
      </rPr>
      <t xml:space="preserve">
• Beépített biztonsági szelep (anti-asphyxia szelep): Arcmaszk lévén az adapter fel van szerelve a gyári biztonsági szeleppel, amely a terápiás nyomás megszűnésekor (pl. áramszünet vagy a készülék leállása esetén) kinyit, lehetővé téve a szobalevegő akadálytalan belégzését.
• Kilégzőnyílások: A könyökidomon kialakított finom rések a terápiás nyomás révén folyamatosan átáramoltatják a maszk belső légterét, megbízhatóan elvezetve a kilélegzett szén-dioxidot a légzőkörből.
</t>
    </r>
    <r>
      <rPr>
        <b/>
        <sz val="11"/>
        <color theme="1"/>
        <rFont val="Calibri"/>
        <family val="2"/>
        <charset val="238"/>
        <scheme val="minor"/>
      </rPr>
      <t>A készlet tartalma:</t>
    </r>
    <r>
      <rPr>
        <sz val="11"/>
        <color theme="1"/>
        <rFont val="Calibri"/>
        <family val="2"/>
        <charset val="238"/>
        <scheme val="minor"/>
      </rPr>
      <t xml:space="preserve">
• 1 db könyökidom beépített kilégzőnyílásokkal és biztonsági szeleppel
• 1 db rögzítőgyűrű a maszktesthez való stabil rögzítéshez
• 1 db forgatható gégecső-csatlakozó karmantyú (standard 22 mm)
</t>
    </r>
    <r>
      <rPr>
        <b/>
        <sz val="11"/>
        <color theme="1"/>
        <rFont val="Calibri"/>
        <family val="2"/>
        <charset val="238"/>
        <scheme val="minor"/>
      </rPr>
      <t>Felszerelés és tisztítás:</t>
    </r>
    <r>
      <rPr>
        <sz val="11"/>
        <color theme="1"/>
        <rFont val="Calibri"/>
        <family val="2"/>
        <charset val="238"/>
        <scheme val="minor"/>
      </rPr>
      <t xml:space="preserve">
• Felszerelés: Pattintsa a rögzítőgyűrűt és a könyökidomot határozott mozdulattal a maszkvázra, amíg az stabilan a helyére nem ugrik.
• Kezelés a felszerelés után: Miután a helyére került, az alkatrész a maszk szerves részét képezi. A mindennapi használat és a tisztítás során a maszkot egy egységként kell elmosni kézzel, langyos, enyhe mosogatószeres vízben. Mosás után hagyja az egész maszkot szobahőmérsékleten teljesen megszáradni.
</t>
    </r>
    <r>
      <rPr>
        <b/>
        <sz val="11"/>
        <color theme="1"/>
        <rFont val="Calibri"/>
        <family val="2"/>
        <charset val="238"/>
        <scheme val="minor"/>
      </rPr>
      <t>Kompatibilitás:</t>
    </r>
    <r>
      <rPr>
        <sz val="11"/>
        <color theme="1"/>
        <rFont val="Calibri"/>
        <family val="2"/>
        <charset val="238"/>
        <scheme val="minor"/>
      </rPr>
      <t xml:space="preserve">
Kizárólag a Löwenstein JOYCEone Full Face és a Löwenstein JOYCEeasy next Full Face arcmaszkokkal kompatibilis. (Orrmaszkokhoz nem használható).</t>
    </r>
  </si>
  <si>
    <t>lowenstein-kilegzo-konyokadapter-joyceone-joyceeasy-next-wm15944</t>
  </si>
  <si>
    <t>Löwenstein JOYCEone / JOYCEeasy next FF könyökadapter WM15944</t>
  </si>
  <si>
    <t>Gyári Löwenstein WM15944 kilégző könyökadapter biztonsági szeleppel JOYCEone FF és JOYCEeasy next FF arcmaszkokhoz. Eredeti alkatrész, gyors szállítás.</t>
  </si>
  <si>
    <t>Eredeti Löwenstein 360 fokban forgó gömbcsuklós kilégző könyökadapter készlet beépített biztonsági szeleppel klasszikus JOYCEeasy Full Face arcmaszkhoz (WM 15897).</t>
  </si>
  <si>
    <r>
      <rPr>
        <b/>
        <sz val="11"/>
        <color theme="1"/>
        <rFont val="Calibri"/>
        <family val="2"/>
        <charset val="238"/>
        <scheme val="minor"/>
      </rPr>
      <t>Funkció és felhasználás:</t>
    </r>
    <r>
      <rPr>
        <sz val="11"/>
        <color theme="1"/>
        <rFont val="Calibri"/>
        <family val="2"/>
        <charset val="238"/>
        <scheme val="minor"/>
      </rPr>
      <t xml:space="preserve">
A Löwenstein WM 15897 gyári pótalkatrész a klasszikus generációs JOYCEeasy Full Face arcmaszkhoz. Erre a kiegészítőre akkor van szükség, ha a meglévő arcmaszk eredeti könyöke, gömbcsuklója vagy rögzítőgyűrűje a rendszeres használat során megkopott, meglazult vagy megsérült. A beépített gömbcsukló és a körbeforgó karmantyú biztosítja a cső akadálytalan mozgását, védve a maszkot az elmozdulástól és a légszivárgástól.
</t>
    </r>
    <r>
      <rPr>
        <b/>
        <sz val="11"/>
        <color theme="1"/>
        <rFont val="Calibri"/>
        <family val="2"/>
        <charset val="238"/>
        <scheme val="minor"/>
      </rPr>
      <t>Biztonsági szelep és kilégzőrendszer:</t>
    </r>
    <r>
      <rPr>
        <sz val="11"/>
        <color theme="1"/>
        <rFont val="Calibri"/>
        <family val="2"/>
        <charset val="238"/>
        <scheme val="minor"/>
      </rPr>
      <t xml:space="preserve">
• Beépített biztonsági szelep (anti-asphyxia szelep): A maszkadapter elengedhetetlen biztonsági eleme, amely a terápiás nyomás esetleges kimaradásakor (áramszünet, gép leállása) automatikusan kinyit a környezeti levegő belégzéséhez.
• Kilégzőnyílások: A könyökidom oldalán elhelyezett rések folyamatosan átáramoltatják a maszk belső légterét, biztosítva a kilélegzett szén-dioxid hatékony távozását.
</t>
    </r>
    <r>
      <rPr>
        <b/>
        <sz val="11"/>
        <color theme="1"/>
        <rFont val="Calibri"/>
        <family val="2"/>
        <charset val="238"/>
        <scheme val="minor"/>
      </rPr>
      <t>A készlet tartalma:</t>
    </r>
    <r>
      <rPr>
        <sz val="11"/>
        <color theme="1"/>
        <rFont val="Calibri"/>
        <family val="2"/>
        <charset val="238"/>
        <scheme val="minor"/>
      </rPr>
      <t xml:space="preserve">
• 1 db könyökidom beépített kilégzőnyílásokkal és biztonsági szeleppel
• 1 db rögzítőgyűrű a JOYCEeasy maszktesthez való rögzítéshez
• 1 db 360 fokban forgó gégecső-csatlakozó karmantyú (standard 22 mm)
</t>
    </r>
    <r>
      <rPr>
        <b/>
        <sz val="11"/>
        <color theme="1"/>
        <rFont val="Calibri"/>
        <family val="2"/>
        <charset val="238"/>
        <scheme val="minor"/>
      </rPr>
      <t>Felszerelés és tisztítás:</t>
    </r>
    <r>
      <rPr>
        <sz val="11"/>
        <color theme="1"/>
        <rFont val="Calibri"/>
        <family val="2"/>
        <charset val="238"/>
        <scheme val="minor"/>
      </rPr>
      <t xml:space="preserve">
• Felszerelés: Pattintsa a rögzítőgyűrűt és a könyökidomot stabilan a JOYCEeasy Full Face maszkvázra, amíg az rögzül.
• Kezelés a felszerelés után: A felhelyezést követően az alkatrész a maszk szerves egységét képezi. A mindennapi használat és a higiéniai karbantartás során a maszkot egy egységként kell elmosni kézzel, langyos, kímélő mosogatószeres vízben. Mosás után hagyja teljesen megszáradni, mielőtt újra a légzőkörhöz csatlakoztatja.
</t>
    </r>
    <r>
      <rPr>
        <b/>
        <sz val="11"/>
        <color theme="1"/>
        <rFont val="Calibri"/>
        <family val="2"/>
        <charset val="238"/>
        <scheme val="minor"/>
      </rPr>
      <t>Kompatibilitás:</t>
    </r>
    <r>
      <rPr>
        <sz val="11"/>
        <color theme="1"/>
        <rFont val="Calibri"/>
        <family val="2"/>
        <charset val="238"/>
        <scheme val="minor"/>
      </rPr>
      <t xml:space="preserve">
A klasszikus Löwenstein JOYCEeasy Full Face és JOYCE SilkGel Full Face arcmaszkokkal kompatibilis. (Nem használható orrmaszkokhoz, sem a JOYCEeasy next FF / JOYCEone FF maszkokhoz, amelyek a WM 15944 adaptert igénylik).</t>
    </r>
  </si>
  <si>
    <t>lowenstein-joyceeasy-full-face-kilegzo-konyokadapter-wm15897</t>
  </si>
  <si>
    <t>Löwenstein JOYCEeasy Full Face kilégző könyökadapter WM15897</t>
  </si>
  <si>
    <t>Gyári Löwenstein WM15897 kilégző könyökadapter biztonsági szeleppel klasszikus JOYCEeasy Full Face arcmaszkhoz. Eredeti pótalkatrész. Rendelje meg online!</t>
  </si>
  <si>
    <t xml:space="preserve">WM 25520 </t>
  </si>
  <si>
    <t>orrmaszk</t>
  </si>
  <si>
    <t>Eredeti Löwenstein Prisma DC összekötő csatlakozókábel (WM 31615). Biztonságos és stabil egyenáramú tápellátást biztosít a külső akkumulátor vagy a 12V/24V-os autós adapter és a Prisma terápiás készülék között.</t>
  </si>
  <si>
    <r>
      <t xml:space="preserve">Funkció és felhasználás:
A Löwenstein WM 31615 gyári csatlakozókábel a Prisma alvásterápiás készülékek megbízható külső egyenáramú tápellátásához szükséges kiegészítő. Segítségével a terápiavezérlő készülék biztonságosan összeköthető a külső Prisma akkumulátorcsomaggal vagy a 12V/24V-os járműadapterrel (szivargyújtós tápkábellel). Ideális pótalkatrészként elveszett vagy mechanikailag sérült eredeti kábel pótlására, illetve mobil és utazás közbeni használathoz.   
</t>
    </r>
    <r>
      <rPr>
        <b/>
        <sz val="11"/>
        <color theme="1"/>
        <rFont val="Calibri"/>
        <family val="2"/>
        <charset val="238"/>
        <scheme val="minor"/>
      </rPr>
      <t xml:space="preserve">
Kialakítás és biztonság:
</t>
    </r>
    <r>
      <rPr>
        <sz val="11"/>
        <color theme="1"/>
        <rFont val="Calibri"/>
        <family val="2"/>
        <charset val="238"/>
        <scheme val="minor"/>
      </rPr>
      <t xml:space="preserve">• Pontos illeszkedés: A gyári csatlakozófejek szilárd, stabil kontaktust nyújtanak, megakadályozva a véletlenszerű kicsúszást, a kontakthibákat és az éjszakai tápkimaradást.
• Védelem: A robusztus, törésgátlóval ellátott burkolat védi a belső ereket a megtöréstől és a zárlattól még gyakori hordozás vagy elcsomagolás esetén is.Kezelés és ápolás:
• Csatlakoztatás előtt ellenőrizze, hogy a kábel és a csatlakozók épek, por- és száraz állapotúak.
• Tisztítása kizárólag a készülékről és az áramforrásról leválasztott állapotban, enyhén nedves, majd száraz mikroszálas kendővel végezhető. Folyadékba meríteni tilos!
• A kábelt tároláskor lazán hajtogassa össze, kerülje a túl szoros megtörést vagy megcsomózást.
</t>
    </r>
    <r>
      <rPr>
        <b/>
        <sz val="11"/>
        <color theme="1"/>
        <rFont val="Calibri"/>
        <family val="2"/>
        <charset val="238"/>
        <scheme val="minor"/>
      </rPr>
      <t>Kompatibilitás:</t>
    </r>
    <r>
      <rPr>
        <sz val="11"/>
        <color theme="1"/>
        <rFont val="Calibri"/>
        <family val="2"/>
        <charset val="238"/>
        <scheme val="minor"/>
      </rPr>
      <t xml:space="preserve">
Löwenstein Prisma alvásterápiás termékcsaládhoz (pl. prisma SOFT, prisma SMART, prisma20A, prisma25S, prisma30ST, prisma CR).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</si>
</sst>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charset val="238"/>
      <scheme val="minor"/>
    </font>
    <font>
      <sz val="11"/>
      <color rgb="FFFF0000"/>
      <name val="Calibri"/>
      <family val="2"/>
      <charset val="238"/>
      <scheme val="minor"/>
    </font>
    <font>
      <b/>
      <sz val="11"/>
      <color theme="1"/>
      <name val="Calibri"/>
      <family val="2"/>
      <charset val="238"/>
      <scheme val="minor"/>
    </font>
    <font>
      <sz val="11"/>
      <name val="Calibri"/>
      <family val="2"/>
      <charset val="238"/>
      <scheme val="minor"/>
    </font>
    <font>
      <sz val="11"/>
      <color rgb="FF0070C0"/>
      <name val="Calibri"/>
      <family val="2"/>
      <charset val="238"/>
      <scheme val="minor"/>
    </font>
    <font>
      <i/>
      <sz val="11"/>
      <color theme="1"/>
      <name val="Calibri"/>
      <family val="2"/>
      <charset val="238"/>
      <scheme val="minor"/>
    </font>
    <font>
      <b/>
      <sz val="11"/>
      <color rgb="FFFF0000"/>
      <name val="Calibri"/>
      <family val="2"/>
      <charset val="238"/>
      <scheme val="minor"/>
    </font>
    <font>
      <sz val="8"/>
      <name val="Calibri"/>
      <family val="2"/>
      <charset val="238"/>
      <scheme val="minor"/>
    </font>
    <font>
      <b/>
      <sz val="11"/>
      <color rgb="FF0070C0"/>
      <name val="Calibri"/>
      <family val="2"/>
      <charset val="238"/>
      <scheme val="minor"/>
    </font>
    <font>
      <b/>
      <sz val="11"/>
      <name val="Calibri"/>
      <family val="2"/>
      <charset val="238"/>
      <scheme val="minor"/>
    </font>
    <font>
      <b/>
      <sz val="11"/>
      <color theme="4" tint="-0.249977111117893"/>
      <name val="Calibri"/>
      <family val="2"/>
      <charset val="238"/>
      <scheme val="minor"/>
    </font>
    <font>
      <sz val="11"/>
      <color theme="4" tint="-0.249977111117893"/>
      <name val="Calibri"/>
      <family val="2"/>
      <charset val="238"/>
      <scheme val="minor"/>
    </font>
    <font>
      <sz val="11"/>
      <color theme="4"/>
      <name val="Calibri"/>
      <family val="2"/>
      <charset val="238"/>
      <scheme val="minor"/>
    </font>
    <font>
      <b/>
      <sz val="11"/>
      <color rgb="FF1F1F1F"/>
      <name val="Arial"/>
      <family val="2"/>
      <charset val="238"/>
    </font>
  </fonts>
  <fills count="9">
    <fill>
      <patternFill patternType="none"/>
    </fill>
    <fill>
      <patternFill patternType="gray125"/>
    </fill>
    <fill>
      <patternFill patternType="solid">
        <fgColor theme="9" tint="0.79998168889431442"/>
        <bgColor indexed="64"/>
      </patternFill>
    </fill>
    <fill>
      <patternFill patternType="solid">
        <fgColor theme="6"/>
        <bgColor indexed="64"/>
      </patternFill>
    </fill>
    <fill>
      <patternFill patternType="solid">
        <fgColor theme="5"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right/>
      <top/>
      <bottom style="thin">
        <color theme="4"/>
      </bottom>
      <diagonal/>
    </border>
    <border>
      <left/>
      <right/>
      <top style="thin">
        <color theme="4"/>
      </top>
      <bottom/>
      <diagonal/>
    </border>
    <border>
      <left/>
      <right/>
      <top style="hair">
        <color auto="1"/>
      </top>
      <bottom/>
      <diagonal/>
    </border>
    <border>
      <left/>
      <right/>
      <top/>
      <bottom style="dotted">
        <color theme="2" tint="-9.9948118533890809E-2"/>
      </bottom>
      <diagonal/>
    </border>
    <border>
      <left/>
      <right/>
      <top style="hair">
        <color auto="1"/>
      </top>
      <bottom style="dotted">
        <color theme="2" tint="-9.9948118533890809E-2"/>
      </bottom>
      <diagonal/>
    </border>
    <border>
      <left/>
      <right/>
      <top style="dotted">
        <color theme="2" tint="-9.9948118533890809E-2"/>
      </top>
      <bottom style="dotted">
        <color theme="2" tint="-9.9948118533890809E-2"/>
      </bottom>
      <diagonal/>
    </border>
    <border>
      <left style="medium">
        <color rgb="FFC4C7C5"/>
      </left>
      <right style="medium">
        <color rgb="FFC4C7C5"/>
      </right>
      <top style="dotted">
        <color theme="2" tint="-9.9948118533890809E-2"/>
      </top>
      <bottom style="dotted">
        <color theme="2" tint="-9.9948118533890809E-2"/>
      </bottom>
      <diagonal/>
    </border>
  </borders>
  <cellStyleXfs count="1">
    <xf numFmtId="0" fontId="0" fillId="0" borderId="0"/>
  </cellStyleXfs>
  <cellXfs count="168">
    <xf numFmtId="0" fontId="0" fillId="0" borderId="0" xfId="0"/>
    <xf numFmtId="0" fontId="2" fillId="0" borderId="0" xfId="0" applyFont="1"/>
    <xf numFmtId="49" fontId="2" fillId="0" borderId="0" xfId="0" applyNumberFormat="1" applyFont="1" applyAlignment="1">
      <alignment horizontal="left"/>
    </xf>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3" fontId="0" fillId="0" borderId="0" xfId="0" applyNumberFormat="1"/>
    <xf numFmtId="3" fontId="0" fillId="0" borderId="0" xfId="0" applyNumberFormat="1" applyAlignment="1">
      <alignment horizontal="center"/>
    </xf>
    <xf numFmtId="49" fontId="0" fillId="0" borderId="0" xfId="0" applyNumberFormat="1" applyAlignment="1">
      <alignment horizontal="right"/>
    </xf>
    <xf numFmtId="49" fontId="0" fillId="0" borderId="0" xfId="0" applyNumberFormat="1"/>
    <xf numFmtId="0" fontId="4" fillId="0" borderId="0" xfId="0" applyFont="1"/>
    <xf numFmtId="0" fontId="5" fillId="0" borderId="0" xfId="0" applyFont="1"/>
    <xf numFmtId="49" fontId="2" fillId="0" borderId="0" xfId="0" applyNumberFormat="1" applyFont="1"/>
    <xf numFmtId="0" fontId="2" fillId="0" borderId="0" xfId="0" applyFont="1" applyAlignment="1">
      <alignment horizontal="left" wrapText="1"/>
    </xf>
    <xf numFmtId="0" fontId="2" fillId="0" borderId="0" xfId="0" applyFont="1" applyAlignment="1">
      <alignment wrapText="1"/>
    </xf>
    <xf numFmtId="0" fontId="0" fillId="0" borderId="0" xfId="0" applyAlignment="1">
      <alignment wrapText="1"/>
    </xf>
    <xf numFmtId="0" fontId="0" fillId="0" borderId="0" xfId="0" applyAlignment="1">
      <alignment horizontal="left" wrapText="1"/>
    </xf>
    <xf numFmtId="49" fontId="0" fillId="0" borderId="0" xfId="0" applyNumberFormat="1" applyAlignment="1">
      <alignment wrapText="1"/>
    </xf>
    <xf numFmtId="49" fontId="2" fillId="0" borderId="0" xfId="0" applyNumberFormat="1" applyFont="1" applyAlignment="1">
      <alignment horizontal="right" wrapText="1"/>
    </xf>
    <xf numFmtId="49" fontId="2" fillId="0" borderId="0" xfId="0" applyNumberFormat="1" applyFont="1" applyAlignment="1">
      <alignment horizontal="left" wrapText="1"/>
    </xf>
    <xf numFmtId="49" fontId="2" fillId="0" borderId="0" xfId="0" applyNumberFormat="1" applyFont="1" applyAlignment="1">
      <alignment wrapText="1"/>
    </xf>
    <xf numFmtId="49" fontId="0" fillId="0" borderId="0" xfId="0" applyNumberFormat="1" applyAlignment="1">
      <alignment horizontal="center"/>
    </xf>
    <xf numFmtId="49" fontId="0" fillId="0" borderId="0" xfId="0" applyNumberFormat="1" applyAlignment="1">
      <alignment horizontal="left" wrapText="1"/>
    </xf>
    <xf numFmtId="0" fontId="3" fillId="0" borderId="0" xfId="0" applyFont="1"/>
    <xf numFmtId="0" fontId="3" fillId="0" borderId="0" xfId="0" applyFont="1" applyAlignment="1">
      <alignment wrapText="1"/>
    </xf>
    <xf numFmtId="49" fontId="3" fillId="0" borderId="0" xfId="0" applyNumberFormat="1" applyFont="1" applyAlignment="1">
      <alignment wrapText="1"/>
    </xf>
    <xf numFmtId="0" fontId="9" fillId="0" borderId="0" xfId="0" applyFont="1"/>
    <xf numFmtId="49" fontId="9" fillId="0" borderId="0" xfId="0" applyNumberFormat="1" applyFont="1" applyAlignment="1">
      <alignment horizontal="right" wrapText="1"/>
    </xf>
    <xf numFmtId="49" fontId="9" fillId="0" borderId="0" xfId="0" applyNumberFormat="1" applyFont="1" applyAlignment="1">
      <alignment wrapText="1"/>
    </xf>
    <xf numFmtId="49" fontId="9" fillId="0" borderId="0" xfId="0" applyNumberFormat="1" applyFont="1" applyAlignment="1">
      <alignment horizontal="left" wrapText="1"/>
    </xf>
    <xf numFmtId="0" fontId="0" fillId="0" borderId="0" xfId="0" applyAlignment="1">
      <alignment horizontal="center" wrapText="1"/>
    </xf>
    <xf numFmtId="0" fontId="2" fillId="0" borderId="0" xfId="0" applyFont="1" applyAlignment="1">
      <alignment horizontal="center" wrapText="1"/>
    </xf>
    <xf numFmtId="0" fontId="11" fillId="8" borderId="1" xfId="0" applyFont="1" applyFill="1" applyBorder="1"/>
    <xf numFmtId="49" fontId="11" fillId="8" borderId="1" xfId="0" applyNumberFormat="1" applyFont="1" applyFill="1" applyBorder="1"/>
    <xf numFmtId="49" fontId="10" fillId="0" borderId="0" xfId="0" applyNumberFormat="1" applyFont="1" applyAlignment="1">
      <alignment wrapText="1"/>
    </xf>
    <xf numFmtId="0" fontId="10" fillId="0" borderId="0" xfId="0" applyFont="1" applyAlignment="1">
      <alignment wrapText="1"/>
    </xf>
    <xf numFmtId="49" fontId="11" fillId="0" borderId="2" xfId="0" applyNumberFormat="1" applyFont="1" applyBorder="1" applyAlignment="1">
      <alignment wrapText="1"/>
    </xf>
    <xf numFmtId="0" fontId="11" fillId="0" borderId="2" xfId="0" applyFont="1" applyBorder="1"/>
    <xf numFmtId="0" fontId="11" fillId="0" borderId="2" xfId="0" applyFont="1" applyBorder="1" applyAlignment="1">
      <alignment wrapText="1"/>
    </xf>
    <xf numFmtId="49" fontId="11" fillId="0" borderId="0" xfId="0" applyNumberFormat="1" applyFont="1" applyAlignment="1">
      <alignment wrapText="1"/>
    </xf>
    <xf numFmtId="0" fontId="11" fillId="0" borderId="0" xfId="0" applyFont="1"/>
    <xf numFmtId="0" fontId="11" fillId="0" borderId="0" xfId="0" applyFont="1" applyAlignment="1">
      <alignment wrapText="1"/>
    </xf>
    <xf numFmtId="49" fontId="11" fillId="0" borderId="0" xfId="0" applyNumberFormat="1" applyFont="1"/>
    <xf numFmtId="49" fontId="11" fillId="0" borderId="3" xfId="0" applyNumberFormat="1" applyFont="1" applyBorder="1"/>
    <xf numFmtId="0" fontId="11" fillId="0" borderId="0" xfId="0" applyFont="1" applyAlignment="1">
      <alignment horizontal="left"/>
    </xf>
    <xf numFmtId="0" fontId="11" fillId="0" borderId="2" xfId="0" applyFont="1" applyBorder="1" applyAlignment="1">
      <alignment horizontal="left" wrapText="1"/>
    </xf>
    <xf numFmtId="0" fontId="11" fillId="0" borderId="0" xfId="0" applyFont="1" applyAlignment="1">
      <alignment horizontal="left" wrapText="1"/>
    </xf>
    <xf numFmtId="0" fontId="3" fillId="0" borderId="3" xfId="0" applyFont="1" applyBorder="1" applyAlignment="1">
      <alignment horizontal="left"/>
    </xf>
    <xf numFmtId="0" fontId="11" fillId="0" borderId="3" xfId="0" applyFont="1" applyBorder="1" applyAlignment="1">
      <alignment horizontal="left"/>
    </xf>
    <xf numFmtId="0" fontId="0" fillId="0" borderId="0" xfId="0" applyAlignment="1">
      <alignment horizontal="left"/>
    </xf>
    <xf numFmtId="0" fontId="9" fillId="0" borderId="0" xfId="0" applyFont="1" applyAlignment="1">
      <alignment wrapText="1"/>
    </xf>
    <xf numFmtId="49" fontId="11" fillId="0" borderId="0" xfId="0" applyNumberFormat="1" applyFont="1" applyAlignment="1">
      <alignment horizontal="left"/>
    </xf>
    <xf numFmtId="49" fontId="6" fillId="0" borderId="0" xfId="0" applyNumberFormat="1" applyFont="1"/>
    <xf numFmtId="0" fontId="6" fillId="0" borderId="0" xfId="0" applyFont="1"/>
    <xf numFmtId="49" fontId="11" fillId="0" borderId="1" xfId="0" applyNumberFormat="1" applyFont="1" applyBorder="1"/>
    <xf numFmtId="0" fontId="11" fillId="0" borderId="1" xfId="0" applyFont="1" applyBorder="1"/>
    <xf numFmtId="0" fontId="11" fillId="0" borderId="1" xfId="0" applyFont="1" applyBorder="1" applyAlignment="1">
      <alignment horizontal="left"/>
    </xf>
    <xf numFmtId="0" fontId="11" fillId="8" borderId="0" xfId="0" applyFont="1" applyFill="1"/>
    <xf numFmtId="0" fontId="1" fillId="0" borderId="0" xfId="0" applyFont="1" applyAlignment="1">
      <alignment wrapText="1"/>
    </xf>
    <xf numFmtId="164" fontId="0" fillId="0" borderId="0" xfId="0" applyNumberFormat="1" applyAlignment="1">
      <alignment horizontal="center"/>
    </xf>
    <xf numFmtId="164" fontId="2" fillId="0" borderId="0" xfId="0" applyNumberFormat="1" applyFont="1" applyAlignment="1">
      <alignment horizontal="left"/>
    </xf>
    <xf numFmtId="3" fontId="2" fillId="0" borderId="0" xfId="0" applyNumberFormat="1" applyFont="1" applyAlignment="1">
      <alignment horizontal="left"/>
    </xf>
    <xf numFmtId="0" fontId="0" fillId="0" borderId="4" xfId="0" applyBorder="1"/>
    <xf numFmtId="49" fontId="0" fillId="0" borderId="4" xfId="0" applyNumberFormat="1" applyBorder="1" applyAlignment="1">
      <alignment horizontal="left"/>
    </xf>
    <xf numFmtId="49" fontId="0" fillId="0" borderId="4" xfId="0" applyNumberFormat="1" applyBorder="1" applyAlignment="1">
      <alignment horizontal="right"/>
    </xf>
    <xf numFmtId="49" fontId="0" fillId="0" borderId="4" xfId="0" applyNumberFormat="1" applyBorder="1"/>
    <xf numFmtId="49" fontId="2" fillId="0" borderId="4" xfId="0" applyNumberFormat="1" applyFont="1" applyBorder="1" applyAlignment="1">
      <alignment horizontal="right"/>
    </xf>
    <xf numFmtId="49" fontId="2" fillId="0" borderId="4" xfId="0" applyNumberFormat="1" applyFont="1" applyBorder="1"/>
    <xf numFmtId="0" fontId="0" fillId="0" borderId="4" xfId="0" applyBorder="1" applyAlignment="1">
      <alignment horizontal="center"/>
    </xf>
    <xf numFmtId="3" fontId="0" fillId="0" borderId="4" xfId="0" applyNumberFormat="1" applyBorder="1"/>
    <xf numFmtId="3" fontId="0" fillId="0" borderId="4" xfId="0" applyNumberFormat="1" applyBorder="1" applyAlignment="1">
      <alignment horizontal="center"/>
    </xf>
    <xf numFmtId="164" fontId="0" fillId="0" borderId="4" xfId="0" applyNumberFormat="1" applyBorder="1" applyAlignment="1">
      <alignment horizontal="center"/>
    </xf>
    <xf numFmtId="49" fontId="3" fillId="0" borderId="4" xfId="0" applyNumberFormat="1" applyFont="1" applyBorder="1" applyAlignment="1">
      <alignment horizontal="center"/>
    </xf>
    <xf numFmtId="0" fontId="0" fillId="0" borderId="5" xfId="0" applyBorder="1" applyAlignment="1">
      <alignment horizontal="left" wrapText="1"/>
    </xf>
    <xf numFmtId="49" fontId="0" fillId="0" borderId="4" xfId="0" applyNumberFormat="1" applyBorder="1" applyAlignment="1">
      <alignment wrapText="1"/>
    </xf>
    <xf numFmtId="49" fontId="0" fillId="0" borderId="4" xfId="0" applyNumberFormat="1" applyBorder="1" applyAlignment="1">
      <alignment horizontal="center"/>
    </xf>
    <xf numFmtId="0" fontId="0" fillId="0" borderId="4" xfId="0" applyBorder="1" applyAlignment="1">
      <alignment wrapText="1"/>
    </xf>
    <xf numFmtId="0" fontId="0" fillId="4" borderId="4" xfId="0" applyFill="1" applyBorder="1" applyAlignment="1">
      <alignment wrapText="1"/>
    </xf>
    <xf numFmtId="0" fontId="0" fillId="2" borderId="4" xfId="0" applyFill="1" applyBorder="1" applyAlignment="1">
      <alignment wrapText="1"/>
    </xf>
    <xf numFmtId="0" fontId="0" fillId="0" borderId="6" xfId="0" applyBorder="1"/>
    <xf numFmtId="49" fontId="0" fillId="0" borderId="6" xfId="0" applyNumberFormat="1" applyBorder="1" applyAlignment="1">
      <alignment horizontal="right"/>
    </xf>
    <xf numFmtId="49" fontId="0" fillId="0" borderId="6" xfId="0" applyNumberFormat="1" applyBorder="1"/>
    <xf numFmtId="49" fontId="2" fillId="0" borderId="6" xfId="0" applyNumberFormat="1" applyFont="1" applyBorder="1" applyAlignment="1">
      <alignment horizontal="right"/>
    </xf>
    <xf numFmtId="49" fontId="2" fillId="0" borderId="6" xfId="0" applyNumberFormat="1" applyFont="1" applyBorder="1"/>
    <xf numFmtId="0" fontId="0" fillId="0" borderId="6" xfId="0" applyBorder="1" applyAlignment="1">
      <alignment horizontal="center"/>
    </xf>
    <xf numFmtId="3" fontId="0" fillId="0" borderId="6" xfId="0" applyNumberFormat="1" applyBorder="1"/>
    <xf numFmtId="3" fontId="0" fillId="0" borderId="6" xfId="0" applyNumberFormat="1" applyBorder="1" applyAlignment="1">
      <alignment horizontal="center"/>
    </xf>
    <xf numFmtId="164" fontId="0" fillId="0" borderId="6" xfId="0" applyNumberFormat="1" applyBorder="1" applyAlignment="1">
      <alignment horizontal="center"/>
    </xf>
    <xf numFmtId="49" fontId="3" fillId="0" borderId="6" xfId="0" applyNumberFormat="1" applyFont="1" applyBorder="1" applyAlignment="1">
      <alignment horizontal="center"/>
    </xf>
    <xf numFmtId="0" fontId="0" fillId="0" borderId="6" xfId="0" applyBorder="1" applyAlignment="1">
      <alignment horizontal="left" wrapText="1"/>
    </xf>
    <xf numFmtId="49" fontId="0" fillId="0" borderId="6" xfId="0" applyNumberFormat="1" applyBorder="1" applyAlignment="1">
      <alignment wrapText="1"/>
    </xf>
    <xf numFmtId="49" fontId="0" fillId="0" borderId="6" xfId="0" applyNumberFormat="1" applyBorder="1" applyAlignment="1">
      <alignment horizontal="center"/>
    </xf>
    <xf numFmtId="0" fontId="0" fillId="0" borderId="6" xfId="0" applyBorder="1" applyAlignment="1">
      <alignment wrapText="1"/>
    </xf>
    <xf numFmtId="0" fontId="0" fillId="4" borderId="6" xfId="0" applyFill="1" applyBorder="1" applyAlignment="1">
      <alignment wrapText="1"/>
    </xf>
    <xf numFmtId="0" fontId="0" fillId="2" borderId="6" xfId="0" applyFill="1" applyBorder="1" applyAlignment="1">
      <alignment wrapText="1"/>
    </xf>
    <xf numFmtId="3" fontId="3" fillId="0" borderId="6" xfId="0" applyNumberFormat="1" applyFont="1" applyBorder="1" applyAlignment="1">
      <alignment horizontal="center"/>
    </xf>
    <xf numFmtId="164" fontId="3" fillId="0" borderId="6" xfId="0" applyNumberFormat="1" applyFont="1" applyBorder="1" applyAlignment="1">
      <alignment horizontal="center"/>
    </xf>
    <xf numFmtId="49" fontId="0" fillId="0" borderId="6" xfId="0" applyNumberFormat="1" applyBorder="1" applyAlignment="1">
      <alignment horizontal="center" wrapText="1"/>
    </xf>
    <xf numFmtId="49" fontId="2" fillId="0" borderId="6" xfId="0" applyNumberFormat="1" applyFont="1" applyBorder="1" applyAlignment="1">
      <alignment horizontal="left"/>
    </xf>
    <xf numFmtId="49" fontId="3" fillId="0" borderId="6" xfId="0" applyNumberFormat="1" applyFont="1" applyBorder="1"/>
    <xf numFmtId="0" fontId="3" fillId="0" borderId="6" xfId="0" applyFont="1" applyBorder="1"/>
    <xf numFmtId="0" fontId="1" fillId="0" borderId="6" xfId="0" applyFont="1" applyBorder="1" applyAlignment="1">
      <alignment horizontal="center"/>
    </xf>
    <xf numFmtId="49" fontId="0" fillId="0" borderId="6" xfId="0" applyNumberFormat="1" applyBorder="1" applyAlignment="1">
      <alignment horizontal="right" wrapText="1"/>
    </xf>
    <xf numFmtId="49" fontId="2" fillId="0" borderId="6" xfId="0" applyNumberFormat="1" applyFont="1" applyBorder="1" applyAlignment="1">
      <alignment horizontal="right" wrapText="1"/>
    </xf>
    <xf numFmtId="49" fontId="2" fillId="0" borderId="6" xfId="0" applyNumberFormat="1" applyFont="1" applyBorder="1" applyAlignment="1">
      <alignment wrapText="1"/>
    </xf>
    <xf numFmtId="0" fontId="0" fillId="0" borderId="6" xfId="0" applyBorder="1" applyAlignment="1">
      <alignment horizontal="center" wrapText="1"/>
    </xf>
    <xf numFmtId="3" fontId="0" fillId="0" borderId="6" xfId="0" applyNumberFormat="1" applyBorder="1" applyAlignment="1">
      <alignment wrapText="1"/>
    </xf>
    <xf numFmtId="3" fontId="3" fillId="0" borderId="6" xfId="0" applyNumberFormat="1" applyFont="1" applyBorder="1" applyAlignment="1">
      <alignment horizontal="center" wrapText="1"/>
    </xf>
    <xf numFmtId="164" fontId="3" fillId="0" borderId="6" xfId="0" applyNumberFormat="1" applyFont="1" applyBorder="1" applyAlignment="1">
      <alignment horizontal="center" wrapText="1"/>
    </xf>
    <xf numFmtId="49" fontId="3" fillId="0" borderId="6" xfId="0" applyNumberFormat="1" applyFont="1" applyBorder="1" applyAlignment="1">
      <alignment horizontal="center" wrapText="1"/>
    </xf>
    <xf numFmtId="3" fontId="1" fillId="0" borderId="6" xfId="0" applyNumberFormat="1" applyFont="1" applyBorder="1" applyAlignment="1">
      <alignment horizontal="center"/>
    </xf>
    <xf numFmtId="164" fontId="1" fillId="0" borderId="6" xfId="0" applyNumberFormat="1" applyFont="1" applyBorder="1" applyAlignment="1">
      <alignment horizontal="center"/>
    </xf>
    <xf numFmtId="49" fontId="1" fillId="0" borderId="6" xfId="0" applyNumberFormat="1" applyFont="1" applyBorder="1" applyAlignment="1">
      <alignment horizontal="center"/>
    </xf>
    <xf numFmtId="49" fontId="0" fillId="0" borderId="6" xfId="0" applyNumberFormat="1" applyBorder="1" applyAlignment="1">
      <alignment horizontal="left" wrapText="1"/>
    </xf>
    <xf numFmtId="3" fontId="0" fillId="0" borderId="6" xfId="0" applyNumberFormat="1" applyBorder="1" applyAlignment="1">
      <alignment horizontal="center" wrapText="1"/>
    </xf>
    <xf numFmtId="164" fontId="0" fillId="0" borderId="6" xfId="0" applyNumberFormat="1" applyBorder="1" applyAlignment="1">
      <alignment horizontal="center" wrapText="1"/>
    </xf>
    <xf numFmtId="0" fontId="1" fillId="0" borderId="6" xfId="0" applyFont="1" applyBorder="1" applyAlignment="1">
      <alignment horizontal="center" wrapText="1"/>
    </xf>
    <xf numFmtId="49" fontId="4" fillId="0" borderId="6" xfId="0" applyNumberFormat="1" applyFont="1" applyBorder="1" applyAlignment="1">
      <alignment horizontal="right"/>
    </xf>
    <xf numFmtId="0" fontId="4" fillId="0" borderId="6" xfId="0" applyFont="1" applyBorder="1"/>
    <xf numFmtId="0" fontId="4" fillId="0" borderId="6" xfId="0" applyFont="1" applyBorder="1" applyAlignment="1">
      <alignment horizontal="center"/>
    </xf>
    <xf numFmtId="3" fontId="1" fillId="0" borderId="6" xfId="0" applyNumberFormat="1" applyFont="1" applyBorder="1"/>
    <xf numFmtId="0" fontId="3" fillId="6" borderId="6" xfId="0" applyFont="1" applyFill="1" applyBorder="1" applyAlignment="1">
      <alignment wrapText="1"/>
    </xf>
    <xf numFmtId="0" fontId="0" fillId="0" borderId="6" xfId="0" applyBorder="1" applyAlignment="1">
      <alignment horizontal="right" wrapText="1"/>
    </xf>
    <xf numFmtId="49" fontId="3" fillId="0" borderId="6" xfId="0" applyNumberFormat="1" applyFont="1" applyBorder="1" applyAlignment="1">
      <alignment horizontal="right"/>
    </xf>
    <xf numFmtId="0" fontId="0" fillId="5" borderId="6" xfId="0" applyFill="1" applyBorder="1" applyAlignment="1">
      <alignment wrapText="1"/>
    </xf>
    <xf numFmtId="49" fontId="1" fillId="0" borderId="6" xfId="0" applyNumberFormat="1" applyFont="1" applyBorder="1"/>
    <xf numFmtId="0" fontId="1" fillId="0" borderId="6" xfId="0" applyFont="1" applyBorder="1"/>
    <xf numFmtId="0" fontId="0" fillId="3" borderId="6" xfId="0" applyFill="1" applyBorder="1" applyAlignment="1">
      <alignment wrapText="1"/>
    </xf>
    <xf numFmtId="49" fontId="0" fillId="0" borderId="6" xfId="0" applyNumberFormat="1" applyBorder="1" applyAlignment="1">
      <alignment horizontal="left"/>
    </xf>
    <xf numFmtId="0" fontId="0" fillId="7" borderId="6" xfId="0" applyFill="1" applyBorder="1" applyAlignment="1">
      <alignment wrapText="1"/>
    </xf>
    <xf numFmtId="49" fontId="0" fillId="0" borderId="6" xfId="0" quotePrefix="1" applyNumberFormat="1" applyBorder="1" applyAlignment="1">
      <alignment wrapText="1"/>
    </xf>
    <xf numFmtId="49" fontId="1" fillId="0" borderId="6" xfId="0" applyNumberFormat="1" applyFont="1" applyBorder="1" applyAlignment="1">
      <alignment horizontal="right"/>
    </xf>
    <xf numFmtId="0" fontId="2" fillId="0" borderId="6" xfId="0" applyFont="1" applyBorder="1" applyAlignment="1">
      <alignment wrapText="1"/>
    </xf>
    <xf numFmtId="0" fontId="2" fillId="0" borderId="6" xfId="0" applyFont="1" applyBorder="1" applyAlignment="1">
      <alignment horizontal="center"/>
    </xf>
    <xf numFmtId="49" fontId="9" fillId="0" borderId="6" xfId="0" applyNumberFormat="1" applyFont="1" applyBorder="1" applyAlignment="1">
      <alignment horizontal="center"/>
    </xf>
    <xf numFmtId="0" fontId="2" fillId="0" borderId="6" xfId="0" applyFont="1" applyBorder="1" applyAlignment="1">
      <alignment horizontal="left" wrapText="1"/>
    </xf>
    <xf numFmtId="49" fontId="2" fillId="0" borderId="6" xfId="0" applyNumberFormat="1" applyFont="1" applyBorder="1" applyAlignment="1">
      <alignment horizontal="center" wrapText="1"/>
    </xf>
    <xf numFmtId="49" fontId="2" fillId="0" borderId="6" xfId="0" applyNumberFormat="1" applyFont="1" applyBorder="1" applyAlignment="1">
      <alignment horizontal="center"/>
    </xf>
    <xf numFmtId="49" fontId="4" fillId="0" borderId="6" xfId="0" applyNumberFormat="1" applyFont="1" applyBorder="1"/>
    <xf numFmtId="49" fontId="4" fillId="0" borderId="6" xfId="0" applyNumberFormat="1" applyFont="1" applyBorder="1" applyAlignment="1">
      <alignment horizontal="left"/>
    </xf>
    <xf numFmtId="3" fontId="4" fillId="0" borderId="6" xfId="0" applyNumberFormat="1" applyFont="1" applyBorder="1"/>
    <xf numFmtId="3" fontId="4" fillId="0" borderId="6" xfId="0" applyNumberFormat="1" applyFont="1" applyBorder="1" applyAlignment="1">
      <alignment horizontal="center"/>
    </xf>
    <xf numFmtId="164" fontId="4" fillId="0" borderId="6" xfId="0" applyNumberFormat="1" applyFont="1" applyBorder="1" applyAlignment="1">
      <alignment horizontal="center"/>
    </xf>
    <xf numFmtId="49" fontId="4" fillId="0" borderId="6" xfId="0" applyNumberFormat="1" applyFont="1" applyBorder="1" applyAlignment="1">
      <alignment horizontal="center"/>
    </xf>
    <xf numFmtId="0" fontId="4" fillId="0" borderId="6" xfId="0" applyFont="1" applyBorder="1" applyAlignment="1">
      <alignment horizontal="left" wrapText="1"/>
    </xf>
    <xf numFmtId="0" fontId="4" fillId="0" borderId="6" xfId="0" applyFont="1" applyBorder="1" applyAlignment="1">
      <alignment wrapText="1"/>
    </xf>
    <xf numFmtId="49" fontId="4" fillId="0" borderId="6" xfId="0" applyNumberFormat="1" applyFont="1" applyBorder="1" applyAlignment="1">
      <alignment wrapText="1"/>
    </xf>
    <xf numFmtId="49" fontId="12" fillId="0" borderId="6" xfId="0" applyNumberFormat="1" applyFont="1" applyBorder="1" applyAlignment="1">
      <alignment horizontal="right"/>
    </xf>
    <xf numFmtId="0" fontId="12" fillId="0" borderId="6" xfId="0" applyFont="1" applyBorder="1"/>
    <xf numFmtId="0" fontId="12" fillId="0" borderId="6" xfId="0" applyFont="1" applyBorder="1" applyAlignment="1">
      <alignment horizontal="center"/>
    </xf>
    <xf numFmtId="0" fontId="5" fillId="0" borderId="6" xfId="0" applyFont="1" applyBorder="1"/>
    <xf numFmtId="0" fontId="5" fillId="0" borderId="6" xfId="0" applyFont="1" applyBorder="1" applyAlignment="1">
      <alignment horizontal="left" wrapText="1"/>
    </xf>
    <xf numFmtId="49" fontId="5" fillId="0" borderId="6" xfId="0" applyNumberFormat="1" applyFont="1" applyBorder="1" applyAlignment="1">
      <alignment wrapText="1"/>
    </xf>
    <xf numFmtId="49" fontId="5" fillId="0" borderId="6" xfId="0" applyNumberFormat="1" applyFont="1" applyBorder="1" applyAlignment="1">
      <alignment horizontal="center"/>
    </xf>
    <xf numFmtId="0" fontId="5" fillId="0" borderId="6" xfId="0" applyFont="1" applyBorder="1" applyAlignment="1">
      <alignment wrapText="1"/>
    </xf>
    <xf numFmtId="0" fontId="2" fillId="0" borderId="6" xfId="0" applyFont="1" applyBorder="1"/>
    <xf numFmtId="3" fontId="2" fillId="0" borderId="6" xfId="0" applyNumberFormat="1" applyFont="1" applyBorder="1" applyAlignment="1">
      <alignment horizontal="center"/>
    </xf>
    <xf numFmtId="164" fontId="2" fillId="0" borderId="6" xfId="0" applyNumberFormat="1" applyFont="1" applyBorder="1" applyAlignment="1">
      <alignment horizontal="center"/>
    </xf>
    <xf numFmtId="0" fontId="13" fillId="0" borderId="7" xfId="0" applyFont="1" applyBorder="1" applyAlignment="1">
      <alignment horizontal="left" vertical="center" wrapText="1" indent="1" readingOrder="1"/>
    </xf>
    <xf numFmtId="0" fontId="3" fillId="0" borderId="6" xfId="0" applyFont="1" applyBorder="1" applyAlignment="1">
      <alignment horizontal="center"/>
    </xf>
    <xf numFmtId="3" fontId="3" fillId="0" borderId="6" xfId="0" applyNumberFormat="1" applyFont="1" applyBorder="1"/>
    <xf numFmtId="0" fontId="1" fillId="0" borderId="6" xfId="0" applyFont="1" applyBorder="1" applyAlignment="1">
      <alignment horizontal="right"/>
    </xf>
    <xf numFmtId="1" fontId="1" fillId="0" borderId="6" xfId="0" applyNumberFormat="1" applyFont="1" applyBorder="1" applyAlignment="1">
      <alignment horizontal="right"/>
    </xf>
    <xf numFmtId="0" fontId="0" fillId="0" borderId="6" xfId="0" applyBorder="1" applyAlignment="1">
      <alignment horizontal="right"/>
    </xf>
    <xf numFmtId="0" fontId="0" fillId="6" borderId="6" xfId="0" applyFill="1" applyBorder="1" applyAlignment="1">
      <alignment horizontal="center"/>
    </xf>
    <xf numFmtId="0" fontId="3" fillId="0" borderId="6" xfId="0" applyFont="1" applyBorder="1" applyAlignment="1">
      <alignment horizontal="right"/>
    </xf>
    <xf numFmtId="0" fontId="3" fillId="0" borderId="6" xfId="0" applyFont="1" applyBorder="1" applyAlignment="1">
      <alignment horizontal="left" wrapText="1"/>
    </xf>
    <xf numFmtId="49" fontId="3" fillId="0" borderId="6" xfId="0" applyNumberFormat="1" applyFont="1" applyBorder="1" applyAlignment="1">
      <alignment wrapText="1"/>
    </xf>
  </cellXfs>
  <cellStyles count="1">
    <cellStyle name="Normál" xfId="0" builtinId="0"/>
  </cellStyles>
  <dxfs count="105">
    <dxf>
      <fill>
        <patternFill>
          <bgColor rgb="FFFFCCCC"/>
        </patternFill>
      </fill>
    </dxf>
    <dxf>
      <fill>
        <patternFill>
          <bgColor rgb="FFCCECFF"/>
        </patternFill>
      </fill>
    </dxf>
    <dxf>
      <fill>
        <patternFill>
          <bgColor rgb="FFFFCCCC"/>
        </patternFill>
      </fill>
    </dxf>
    <dxf>
      <fill>
        <patternFill>
          <bgColor rgb="FFCCECFF"/>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CCCC"/>
        </patternFill>
      </fill>
    </dxf>
    <dxf>
      <fill>
        <patternFill>
          <bgColor rgb="FFCCECFF"/>
        </patternFill>
      </fill>
    </dxf>
    <dxf>
      <fill>
        <patternFill>
          <bgColor theme="9" tint="0.79998168889431442"/>
        </patternFill>
      </fill>
    </dxf>
    <dxf>
      <fill>
        <patternFill>
          <bgColor theme="9" tint="0.79998168889431442"/>
        </patternFill>
      </fill>
    </dxf>
    <dxf>
      <font>
        <b/>
        <i val="0"/>
        <color rgb="FFC00000"/>
      </font>
      <fill>
        <patternFill>
          <bgColor theme="5" tint="0.599963377788628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CCCC"/>
        </patternFill>
      </fill>
    </dxf>
    <dxf>
      <fill>
        <patternFill>
          <bgColor rgb="FFCCECFF"/>
        </patternFill>
      </fill>
    </dxf>
    <dxf>
      <fill>
        <patternFill>
          <bgColor theme="9" tint="0.79998168889431442"/>
        </patternFill>
      </fill>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numFmt numFmtId="30" formatCode="@"/>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numFmt numFmtId="30" formatCode="@"/>
      <fill>
        <patternFill patternType="none">
          <bgColor auto="1"/>
        </patternFill>
      </fill>
    </dxf>
    <dxf>
      <border outline="0">
        <top style="thin">
          <color theme="4"/>
        </top>
      </border>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i val="0"/>
        <strike val="0"/>
        <condense val="0"/>
        <extend val="0"/>
        <outline val="0"/>
        <shadow val="0"/>
        <u val="none"/>
        <vertAlign val="baseline"/>
        <sz val="11"/>
        <color theme="4" tint="-0.249977111117893"/>
        <name val="Calibri"/>
        <family val="2"/>
        <charset val="238"/>
        <scheme val="minor"/>
      </font>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charset val="238"/>
        <scheme val="minor"/>
      </font>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numFmt numFmtId="0" formatCode="General"/>
      <fill>
        <patternFill patternType="none">
          <bgColor auto="1"/>
        </patternFill>
      </fill>
      <alignment horizontal="left" vertical="bottom" textRotation="0" indent="0" justifyLastLine="0" shrinkToFit="0" readingOrder="0"/>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val="0"/>
        <i val="0"/>
        <strike val="0"/>
        <condense val="0"/>
        <extend val="0"/>
        <outline val="0"/>
        <shadow val="0"/>
        <u val="none"/>
        <vertAlign val="baseline"/>
        <sz val="11"/>
        <color theme="4" tint="-0.249977111117893"/>
        <name val="Calibri"/>
        <family val="2"/>
        <charset val="238"/>
        <scheme val="minor"/>
      </font>
      <numFmt numFmtId="30" formatCode="@"/>
      <fill>
        <patternFill patternType="none">
          <bgColor auto="1"/>
        </patternFill>
      </fill>
    </dxf>
    <dxf>
      <border outline="0">
        <top style="thin">
          <color theme="4"/>
        </top>
      </border>
    </dxf>
    <dxf>
      <font>
        <b val="0"/>
        <i val="0"/>
        <strike val="0"/>
        <condense val="0"/>
        <extend val="0"/>
        <outline val="0"/>
        <shadow val="0"/>
        <u val="none"/>
        <vertAlign val="baseline"/>
        <sz val="11"/>
        <color theme="4" tint="-0.249977111117893"/>
        <name val="Calibri"/>
        <family val="2"/>
        <charset val="238"/>
        <scheme val="minor"/>
      </font>
      <fill>
        <patternFill patternType="none">
          <bgColor auto="1"/>
        </patternFill>
      </fill>
    </dxf>
    <dxf>
      <font>
        <b/>
        <i val="0"/>
        <strike val="0"/>
        <condense val="0"/>
        <extend val="0"/>
        <outline val="0"/>
        <shadow val="0"/>
        <u val="none"/>
        <vertAlign val="baseline"/>
        <sz val="11"/>
        <color auto="1"/>
        <name val="Calibri"/>
        <family val="2"/>
        <charset val="238"/>
        <scheme val="minor"/>
      </font>
      <fill>
        <patternFill patternType="none">
          <bgColor auto="1"/>
        </patternFill>
      </fil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numFmt numFmtId="30" formatCode="@"/>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30" formatCode="@"/>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30" formatCode="@"/>
      <alignment horizontal="center" vertical="bottom" textRotation="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numFmt numFmtId="30" formatCode="@"/>
      <alignment vertical="bottom" textRotation="0" wrapText="1"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left" vertical="bottom" textRotation="0" wrapText="1"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30" formatCode="@"/>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164" formatCode="yyyy/mm/dd;@"/>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3" formatCode="#,##0"/>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numFmt numFmtId="3" formatCode="#,##0"/>
      <border diagonalUp="0" diagonalDown="0">
        <top style="dotted">
          <color theme="2" tint="-9.9948118533890809E-2"/>
        </top>
        <bottom style="dotted">
          <color theme="2" tint="-9.9948118533890809E-2"/>
        </bottom>
        <horizontal style="dotted">
          <color theme="2" tint="-9.9948118533890809E-2"/>
        </horizontal>
      </border>
    </dxf>
    <dxf>
      <alignment horizontal="center"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numFmt numFmtId="30" formatCode="@"/>
      <border diagonalUp="0" diagonalDown="0">
        <top style="dotted">
          <color theme="2" tint="-9.9948118533890809E-2"/>
        </top>
        <bottom style="dotted">
          <color theme="2" tint="-9.9948118533890809E-2"/>
        </bottom>
        <horizontal style="dotted">
          <color theme="2" tint="-9.9948118533890809E-2"/>
        </horizontal>
      </border>
    </dxf>
    <dxf>
      <alignment horizontal="general" vertical="bottom" textRotation="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numFmt numFmtId="30" formatCode="@"/>
      <alignment horizontal="left"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numFmt numFmtId="30" formatCode="@"/>
      <alignment horizontal="left" vertical="bottom" textRotation="0" wrapText="0" indent="0" justifyLastLine="0" shrinkToFit="0" readingOrder="0"/>
      <border diagonalUp="0" diagonalDown="0">
        <left/>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numFmt numFmtId="30" formatCode="@"/>
      <alignment horizontal="general"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numFmt numFmtId="30" formatCode="@"/>
      <alignment horizontal="left" vertical="bottom" textRotation="0" wrapText="0" indent="0" justifyLastLine="0" shrinkToFit="0" readingOrder="0"/>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border diagonalUp="0" diagonalDown="0">
        <top style="dotted">
          <color theme="2" tint="-9.9948118533890809E-2"/>
        </top>
        <bottom style="dotted">
          <color theme="2" tint="-9.9948118533890809E-2"/>
        </bottom>
        <horizontal style="dotted">
          <color theme="2" tint="-9.9948118533890809E-2"/>
        </horizontal>
      </border>
    </dxf>
    <dxf>
      <font>
        <b/>
        <i val="0"/>
        <strike val="0"/>
        <condense val="0"/>
        <extend val="0"/>
        <outline val="0"/>
        <shadow val="0"/>
        <u val="none"/>
        <vertAlign val="baseline"/>
        <sz val="11"/>
        <color theme="1"/>
        <name val="Calibri"/>
        <family val="2"/>
        <charset val="238"/>
        <scheme val="minor"/>
      </font>
    </dxf>
  </dxfs>
  <tableStyles count="0" defaultTableStyle="TableStyleMedium2" defaultPivotStyle="PivotStyleLight16"/>
  <colors>
    <mruColors>
      <color rgb="FFCCE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FFB36-78D0-4D4C-AF6B-0EAF1AF39799}" name="Táblázat1" displayName="Táblázat1" ref="A1:AV285" totalsRowShown="0" headerRowDxfId="104">
  <autoFilter ref="A1:AV285" xr:uid="{162FFB36-78D0-4D4C-AF6B-0EAF1AF39799}"/>
  <tableColumns count="48">
    <tableColumn id="1" xr3:uid="{25A456A6-E896-4127-8ADD-B8ABF9627319}" name="STÁTUSZ" dataDxfId="103"/>
    <tableColumn id="17" xr3:uid="{FDE1F936-8AEB-4806-BAF0-77ED004DCC30}" name="Fő kat. ID" dataDxfId="102"/>
    <tableColumn id="16" xr3:uid="{0BF88210-9987-4323-BBB6-C1287087E65B}" name="Fő kat. Neve" dataDxfId="101"/>
    <tableColumn id="2" xr3:uid="{26D27726-5F2A-42B8-84A5-AB9AD643D432}" name="Kategória ID" dataDxfId="100"/>
    <tableColumn id="19" xr3:uid="{C63DD8A5-066E-4F06-AA56-9EEE4497F709}" name="Kat. Neve" dataDxfId="99"/>
    <tableColumn id="18" xr3:uid="{90D3EB7A-6E38-4AA7-BF0E-227CBF109154}" name="Alkat. ID" dataDxfId="98"/>
    <tableColumn id="20" xr3:uid="{9FE12EBD-642D-4017-8613-D2BAA5DDF9DA}" name="Alkat. Neve" dataDxfId="97"/>
    <tableColumn id="40" xr3:uid="{990C58F5-D23E-41C6-AC1E-8AC2FBB4255F}" name="Szülőtermék" dataDxfId="96"/>
    <tableColumn id="3" xr3:uid="{2F8538CB-E09C-40F0-A867-482795674D08}" name="Cikkszám" dataDxfId="95"/>
    <tableColumn id="4" xr3:uid="{76E4E701-6EE9-462C-B616-2074EBCBEF36}" name="Terméknév" dataDxfId="94"/>
    <tableColumn id="37" xr3:uid="{65F15B8E-4264-469C-927E-4696ABF329E8}" name="Státusz (Aktív / Kifutott / Inaktív)" dataDxfId="93"/>
    <tableColumn id="5" xr3:uid="{6A4EE494-4B3D-4FAC-BD93-351CE2382DB5}" name="Gyártó" dataDxfId="92"/>
    <tableColumn id="6" xr3:uid="{7125764B-788E-43DD-83B6-67E46BFC60C0}" name="Teljes ár " dataDxfId="91"/>
    <tableColumn id="7" xr3:uid="{4ED74FCF-F5A5-4122-B99B-12555DAE6AF2}" name="TB-támogatott ár" dataDxfId="90"/>
    <tableColumn id="45" xr3:uid="{D3E37966-E5B3-4164-BD9C-28040B0428A5}" name="KVL Mióta kapható?" dataDxfId="89"/>
    <tableColumn id="39" xr3:uid="{833CE711-7F89-48BD-87AF-1CB533247FA5}" name="Méret" dataDxfId="88"/>
    <tableColumn id="8" xr3:uid="{D04F5C9D-DD1F-43A7-9D4E-FC473FD9F4C3}" name="webshop fotó státusz" dataDxfId="87"/>
    <tableColumn id="9" xr3:uid="{F4A31317-1F8F-4B2E-A0E0-DA0666F5212B}" name="Rövid leírás" dataDxfId="86"/>
    <tableColumn id="10" xr3:uid="{810CC9EF-10F0-4E6A-8A99-AD392FCDF7E5}" name="Hosszú leírás" dataDxfId="85"/>
    <tableColumn id="11" xr3:uid="{68D83ECC-16FA-4EC2-9B5F-1AD7ED31FDB9}" name="Üzemmód (CPA/APAP/BiLevel" dataDxfId="84"/>
    <tableColumn id="25" xr3:uid="{A3E1E31C-5AE4-40CF-AF08-EB163361B11F}" name="Nyomástartomány (hPa)" dataDxfId="83"/>
    <tableColumn id="26" xr3:uid="{199EEFC6-C83F-4E69-9202-969FEB0F1B9F}" name="Zajszint (dBA)" dataDxfId="82"/>
    <tableColumn id="27" xr3:uid="{47B9E05F-EBAA-410C-A722-55FFF7AA8C64}" name="Súly (kg)" dataDxfId="81"/>
    <tableColumn id="21" xr3:uid="{FAE3FE34-D062-469F-83CC-F81E3CCB3820}" name="Méret (szé x ma x mé)" dataDxfId="80"/>
    <tableColumn id="41" xr3:uid="{6549F89A-7CC6-4E4C-90BD-EAEEFB0712C6}" name="Holttér (ml)" dataDxfId="79"/>
    <tableColumn id="38" xr3:uid="{D046637B-D68F-4E3A-BB95-697D0B84005E}" name="Töltési térfogat (ml)" dataDxfId="78"/>
    <tableColumn id="42" xr3:uid="{05F3B332-0089-42EB-8717-A5FF9B2AF283}" name="Párásítási fokozat" dataDxfId="77"/>
    <tableColumn id="43" xr3:uid="{FE68A684-B4A0-4330-A3AF-BD708F9EE095}" name="Párásító maximális leadott hőmérséklete" dataDxfId="76"/>
    <tableColumn id="35" xr3:uid="{79D5550F-377D-45F6-8CBE-6B974EF30028}" name="Szín (fekete/fehér)" dataDxfId="75"/>
    <tableColumn id="22" xr3:uid="{26827F34-C80B-479C-B19B-BD68F17AFAEC}" name="Bluetooth / App kapcsolat (igen/nem)" dataDxfId="74"/>
    <tableColumn id="32" xr3:uid="{4B1DFFCC-61D0-47C2-B0B4-A60B34390D49}" name="Képernyő típusa" dataDxfId="73"/>
    <tableColumn id="23" xr3:uid="{F1AA0327-BFB0-4C8C-A531-C3A67F3BBB0D}" name="Párásító opció (van/nincs/beépítve)" dataDxfId="72"/>
    <tableColumn id="34" xr3:uid="{18273AC7-AA15-4ED2-AB9E-F4FC9F35F486}" name="Fűtött gégecső opcó (igen/nem)" dataDxfId="71"/>
    <tableColumn id="28" xr3:uid="{24B2DC65-FD82-40C9-AA2C-EBB9BAE75F3A}" name="SD kártya tartozék?" dataDxfId="70"/>
    <tableColumn id="29" xr3:uid="{6F7F6B6A-616C-4D61-90E2-99666368A88F}" name="Kiszerelés típus (Egy méret / FitPack)" dataDxfId="69"/>
    <tableColumn id="30" xr3:uid="{B1A11E20-8630-45B3-A40C-8680A5ECF670}" name="Csomag tartalma (részletes)" dataDxfId="68"/>
    <tableColumn id="33" xr3:uid="{6C88AA5E-23AA-4E33-9DCD-F50CD2A67F96}" name="Mágneses csat (igen/nem)" dataDxfId="67"/>
    <tableColumn id="31" xr3:uid="{1E522ACB-B9D7-4FDB-AD22-4FE94EB6C3A8}" name="Közgyógyra írtható (igen/nem)" dataDxfId="66"/>
    <tableColumn id="24" xr3:uid="{3C0B71A7-F907-480F-9EF8-79ACCD1216DA}" name="Jótállás (év)" dataDxfId="65"/>
    <tableColumn id="12" xr3:uid="{346117CB-B0F5-477D-A8E2-BEB4045A01A3}" name="Kapcsolódó termékek" dataDxfId="64"/>
    <tableColumn id="36" xr3:uid="{2AACD99A-FB33-40DE-A2A7-F8C29366BEAA}" name="Kapcs. Termékek neve" dataDxfId="63"/>
    <tableColumn id="13" xr3:uid="{63A8B9F7-11E5-4E36-97EC-8BE022A89E3A}" name="Útmutató / Csatolmány link" dataDxfId="62"/>
    <tableColumn id="54" xr3:uid="{BA687A3E-842B-4491-AE5A-40459579C6A8}" name="SEO URL" dataDxfId="61"/>
    <tableColumn id="52" xr3:uid="{CC83EEC9-9BCD-4C9D-9102-EF4057B16EDD}" name="SEO Meta cím" dataDxfId="60"/>
    <tableColumn id="50" xr3:uid="{42AD4A89-54F1-4793-9066-C5934C5C2563}" name="SEO Meta leírás" dataDxfId="59"/>
    <tableColumn id="14" xr3:uid="{B007275C-6177-482D-93F3-444FA6DF9EBC}" name="Webshop státusz" dataDxfId="58"/>
    <tableColumn id="15" xr3:uid="{64142BC8-538E-461B-AD2D-D9D04C63CF39}" name="Megjegyzés (belső)" dataDxfId="57"/>
    <tableColumn id="44" xr3:uid="{D2AE3666-3466-4774-8448-44F46C253BCE}" name="Extra kategória" dataDxfId="56">
      <calculatedColumnFormula>VLOOKUP(I2, Kiegészítő_Mátrix!C:E, 3, FALSE)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6A529F-505B-4D55-A2C0-FDC65979BA7A}" name="Táblázat4" displayName="Táblázat4" ref="A1:G998" totalsRowShown="0" headerRowDxfId="55" dataDxfId="54" tableBorderDxfId="53">
  <autoFilter ref="A1:G998" xr:uid="{4B6A529F-505B-4D55-A2C0-FDC65979BA7A}"/>
  <tableColumns count="7">
    <tableColumn id="1" xr3:uid="{62F6C88A-AA8B-4E48-953C-662264211535}" name="Főtermék Cikkszáma (Pl. a maszké)" dataDxfId="52"/>
    <tableColumn id="2" xr3:uid="{202261D1-4F11-45EA-80B0-DBA397B84235}" name="Főtermék Neve (Ezt az Excel fogja kitölteni!)" dataDxfId="51"/>
    <tableColumn id="3" xr3:uid="{CD414F90-2DD3-4668-8B7C-68E49529035E}" name="Kiegészítő Cikkszáma (Pl. a pánté)" dataDxfId="50"/>
    <tableColumn id="4" xr3:uid="{636E3D66-1DA3-4829-BFED-217CB6FF7CA0}" name="Kiegészítő Neve (Ezt az Excel fogja kitölteni!)" dataDxfId="49"/>
    <tableColumn id="5" xr3:uid="{9179E9F7-01D3-4F44-A8F0-5764FE49BD14}" name="Gyűjtő kategória neve (Pl. „DreamStation kiegészítők”)" dataDxfId="48"/>
    <tableColumn id="8" xr3:uid="{E7436C9E-5468-4910-9700-8485FACF5BA4}" name="Figyelmeztető kiegészítés" dataDxfId="47"/>
    <tableColumn id="7" xr3:uid="{EAE6BAFA-A904-41D0-B3EA-DB6D3FD5C008}" name="Egyedi tipp szöveg az összes kiegészítőre (az adott főtermék hosszú leírásának végére másold be, csináld meg a linket!)"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C74B31-FC47-4846-8167-F17366F91C19}" name="Táblázat3" displayName="Táblázat3" ref="A1:E502" totalsRowShown="0" headerRowDxfId="45" dataDxfId="44" tableBorderDxfId="43">
  <autoFilter ref="A1:E502" xr:uid="{53C74B31-FC47-4846-8167-F17366F91C19}"/>
  <tableColumns count="5">
    <tableColumn id="1" xr3:uid="{316BF579-E6F5-4309-8D6A-E8E55FF78132}" name="Főtermék Cikkszáma (Pl. a maszké)" dataDxfId="42"/>
    <tableColumn id="2" xr3:uid="{551DBF7C-DA29-46DF-B834-A2AD2903C8D2}" name="Főtermék Neve (Ezt az Excel fogja kitölteni!)" dataDxfId="41"/>
    <tableColumn id="3" xr3:uid="{3CFC54C6-5639-4C4E-B639-03ED2B9F4E8F}" name="Kiegészítő Cikkszáma (Pl. a pánté)" dataDxfId="40"/>
    <tableColumn id="4" xr3:uid="{5E900488-43F3-4722-AA37-4F0ACD2F3D71}" name="Kiegészítő Neve (Ezt az Excel fogja kitölteni!)" dataDxfId="39"/>
    <tableColumn id="5" xr3:uid="{9ECAADF4-7693-436B-8780-CD51F237B7B1}" name="Gyűjtő kategória neve (Pl. „DreamStation kiegészítők”)" dataDxfId="38"/>
  </tableColumns>
  <tableStyleInfo name="TableStyleLight2" showFirstColumn="0" showLastColumn="0" showRowStripes="1" showColumnStripes="0"/>
</table>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DC9A-0195-43DF-9D1F-1882E403E985}">
  <dimension ref="A1:AV285"/>
  <sheetViews>
    <sheetView tabSelected="1" zoomScale="84" zoomScaleNormal="84" zoomScaleSheetLayoutView="50" workbookViewId="0">
      <selection activeCell="O1" sqref="O1:O1048576"/>
    </sheetView>
  </sheetViews>
  <sheetFormatPr defaultRowHeight="14.4" x14ac:dyDescent="0.3"/>
  <cols>
    <col min="1" max="1" width="10.44140625" customWidth="1"/>
    <col min="2" max="2" width="4" customWidth="1"/>
    <col min="3" max="3" width="17.5546875" customWidth="1"/>
    <col min="4" max="4" width="7.33203125" style="8" customWidth="1"/>
    <col min="5" max="5" width="24.6640625" style="9" customWidth="1"/>
    <col min="6" max="6" width="6.44140625" style="8" customWidth="1"/>
    <col min="7" max="7" width="37.21875" style="8" customWidth="1"/>
    <col min="8" max="8" width="32.88671875" style="9" customWidth="1"/>
    <col min="9" max="9" width="17.5546875" style="12" customWidth="1"/>
    <col min="10" max="10" width="36.21875" customWidth="1"/>
    <col min="11" max="11" width="15.33203125" customWidth="1"/>
    <col min="12" max="12" width="12.21875" style="5" customWidth="1"/>
    <col min="13" max="13" width="11.33203125" style="6" customWidth="1"/>
    <col min="14" max="14" width="17.33203125" style="7" customWidth="1"/>
    <col min="15" max="15" width="19.33203125" style="59" customWidth="1"/>
    <col min="16" max="16" width="7.5546875" style="21" customWidth="1"/>
    <col min="17" max="17" width="14.77734375" style="5" customWidth="1"/>
    <col min="18" max="18" width="57.88671875" style="16" customWidth="1"/>
    <col min="19" max="19" width="93.21875" style="17" customWidth="1"/>
    <col min="20" max="20" width="11.88671875" customWidth="1"/>
    <col min="21" max="21" width="11.6640625" customWidth="1"/>
    <col min="22" max="22" width="9" customWidth="1"/>
    <col min="23" max="23" width="7.21875" customWidth="1"/>
    <col min="24" max="24" width="14.77734375" customWidth="1"/>
    <col min="25" max="25" width="10.88671875" customWidth="1"/>
    <col min="26" max="26" width="14.77734375" style="21" customWidth="1"/>
    <col min="27" max="27" width="9.88671875" style="21" customWidth="1"/>
    <col min="28" max="28" width="14.77734375" style="21" customWidth="1"/>
    <col min="29" max="29" width="8.88671875" customWidth="1"/>
    <col min="30" max="30" width="11.77734375" customWidth="1"/>
    <col min="31" max="31" width="16.5546875" customWidth="1"/>
    <col min="32" max="33" width="19" style="15" customWidth="1"/>
    <col min="34" max="35" width="19" customWidth="1"/>
    <col min="36" max="36" width="19" style="15" customWidth="1"/>
    <col min="37" max="37" width="11.88671875" customWidth="1"/>
    <col min="38" max="38" width="12.5546875" customWidth="1"/>
    <col min="39" max="39" width="8.44140625" style="15" customWidth="1"/>
    <col min="40" max="41" width="21.5546875" style="15" customWidth="1"/>
    <col min="42" max="42" width="40.77734375" style="15" customWidth="1"/>
    <col min="43" max="45" width="29.5546875" style="15" customWidth="1"/>
    <col min="46" max="46" width="29.5546875" customWidth="1"/>
    <col min="47" max="47" width="19.77734375" customWidth="1"/>
    <col min="48" max="48" width="44.44140625" customWidth="1"/>
  </cols>
  <sheetData>
    <row r="1" spans="1:48" s="1" customFormat="1" ht="43.2" x14ac:dyDescent="0.3">
      <c r="A1" s="1" t="s">
        <v>351</v>
      </c>
      <c r="B1" s="1" t="s">
        <v>354</v>
      </c>
      <c r="C1" s="1" t="s">
        <v>355</v>
      </c>
      <c r="D1" s="2" t="s">
        <v>343</v>
      </c>
      <c r="E1" s="12" t="s">
        <v>356</v>
      </c>
      <c r="F1" s="2" t="s">
        <v>357</v>
      </c>
      <c r="G1" s="2" t="s">
        <v>358</v>
      </c>
      <c r="H1" s="12" t="s">
        <v>535</v>
      </c>
      <c r="I1" s="2" t="s">
        <v>342</v>
      </c>
      <c r="J1" s="4" t="s">
        <v>341</v>
      </c>
      <c r="K1" s="4" t="s">
        <v>1027</v>
      </c>
      <c r="L1" s="4" t="s">
        <v>344</v>
      </c>
      <c r="M1" s="61" t="s">
        <v>1273</v>
      </c>
      <c r="N1" s="61" t="s">
        <v>345</v>
      </c>
      <c r="O1" s="60" t="s">
        <v>2173</v>
      </c>
      <c r="P1" s="2" t="s">
        <v>530</v>
      </c>
      <c r="Q1" s="4" t="s">
        <v>346</v>
      </c>
      <c r="R1" s="13" t="s">
        <v>347</v>
      </c>
      <c r="S1" s="20" t="s">
        <v>348</v>
      </c>
      <c r="T1" s="1" t="s">
        <v>383</v>
      </c>
      <c r="U1" s="1" t="s">
        <v>384</v>
      </c>
      <c r="V1" s="1" t="s">
        <v>385</v>
      </c>
      <c r="W1" s="1" t="s">
        <v>386</v>
      </c>
      <c r="X1" s="1" t="s">
        <v>387</v>
      </c>
      <c r="Y1" s="1" t="s">
        <v>621</v>
      </c>
      <c r="Z1" s="2" t="s">
        <v>505</v>
      </c>
      <c r="AA1" s="2" t="s">
        <v>678</v>
      </c>
      <c r="AB1" s="2" t="s">
        <v>684</v>
      </c>
      <c r="AC1" s="1" t="s">
        <v>1145</v>
      </c>
      <c r="AD1" s="1" t="s">
        <v>388</v>
      </c>
      <c r="AE1" s="1" t="s">
        <v>394</v>
      </c>
      <c r="AF1" s="14" t="s">
        <v>389</v>
      </c>
      <c r="AG1" s="14" t="s">
        <v>396</v>
      </c>
      <c r="AH1" s="1" t="s">
        <v>390</v>
      </c>
      <c r="AI1" s="1" t="s">
        <v>391</v>
      </c>
      <c r="AJ1" s="14" t="s">
        <v>392</v>
      </c>
      <c r="AK1" s="1" t="s">
        <v>395</v>
      </c>
      <c r="AL1" s="1" t="s">
        <v>393</v>
      </c>
      <c r="AM1" s="14" t="s">
        <v>508</v>
      </c>
      <c r="AN1" s="14" t="s">
        <v>349</v>
      </c>
      <c r="AO1" s="14" t="s">
        <v>427</v>
      </c>
      <c r="AP1" s="14" t="s">
        <v>350</v>
      </c>
      <c r="AQ1" s="14" t="s">
        <v>1452</v>
      </c>
      <c r="AR1" s="14" t="s">
        <v>1453</v>
      </c>
      <c r="AS1" s="14" t="s">
        <v>1454</v>
      </c>
      <c r="AT1" s="1" t="s">
        <v>352</v>
      </c>
      <c r="AU1" s="1" t="s">
        <v>353</v>
      </c>
      <c r="AV1" s="1" t="s">
        <v>1246</v>
      </c>
    </row>
    <row r="2" spans="1:48" ht="30" customHeight="1" x14ac:dyDescent="0.3">
      <c r="A2" s="62"/>
      <c r="B2" s="62" t="s">
        <v>359</v>
      </c>
      <c r="C2" s="63" t="s">
        <v>0</v>
      </c>
      <c r="D2" s="64" t="s">
        <v>1</v>
      </c>
      <c r="E2" s="65" t="s">
        <v>361</v>
      </c>
      <c r="F2" s="66"/>
      <c r="G2" s="66"/>
      <c r="H2" s="67"/>
      <c r="I2" s="65" t="s">
        <v>2</v>
      </c>
      <c r="J2" s="62" t="s">
        <v>3</v>
      </c>
      <c r="K2" s="62" t="s">
        <v>2158</v>
      </c>
      <c r="L2" s="68" t="s">
        <v>4</v>
      </c>
      <c r="M2" s="69">
        <v>260350</v>
      </c>
      <c r="N2" s="70">
        <v>144780</v>
      </c>
      <c r="O2" s="71">
        <v>45170</v>
      </c>
      <c r="P2" s="72" t="s">
        <v>18</v>
      </c>
      <c r="Q2" s="68" t="s">
        <v>5</v>
      </c>
      <c r="R2" s="73" t="s">
        <v>424</v>
      </c>
      <c r="S2" s="74" t="s">
        <v>472</v>
      </c>
      <c r="T2" s="62" t="s">
        <v>397</v>
      </c>
      <c r="U2" s="62" t="s">
        <v>398</v>
      </c>
      <c r="V2" s="62" t="s">
        <v>399</v>
      </c>
      <c r="W2" s="62" t="s">
        <v>400</v>
      </c>
      <c r="X2" s="62" t="s">
        <v>401</v>
      </c>
      <c r="Y2" s="62"/>
      <c r="Z2" s="75" t="s">
        <v>18</v>
      </c>
      <c r="AA2" s="75"/>
      <c r="AB2" s="75"/>
      <c r="AC2" s="62" t="s">
        <v>402</v>
      </c>
      <c r="AD2" s="62" t="s">
        <v>403</v>
      </c>
      <c r="AE2" s="62" t="s">
        <v>404</v>
      </c>
      <c r="AF2" s="76" t="s">
        <v>446</v>
      </c>
      <c r="AG2" s="77" t="s">
        <v>452</v>
      </c>
      <c r="AH2" s="62" t="s">
        <v>405</v>
      </c>
      <c r="AI2" s="62" t="s">
        <v>406</v>
      </c>
      <c r="AJ2" s="76" t="s">
        <v>442</v>
      </c>
      <c r="AK2" s="62" t="s">
        <v>18</v>
      </c>
      <c r="AL2" s="62" t="s">
        <v>408</v>
      </c>
      <c r="AM2" s="76" t="s">
        <v>496</v>
      </c>
      <c r="AN2" s="76" t="s">
        <v>454</v>
      </c>
      <c r="AO2" s="76" t="s">
        <v>458</v>
      </c>
      <c r="AP2" s="78" t="s">
        <v>410</v>
      </c>
      <c r="AQ2" s="76" t="s">
        <v>1455</v>
      </c>
      <c r="AR2" s="76" t="s">
        <v>1456</v>
      </c>
      <c r="AS2" s="76" t="s">
        <v>1457</v>
      </c>
      <c r="AT2" s="62"/>
      <c r="AU2" s="62"/>
      <c r="AV2" s="76" t="e">
        <f>VLOOKUP(I2, Kiegészítő_Mátrix!C:E, 3, FALSE)</f>
        <v>#N/A</v>
      </c>
    </row>
    <row r="3" spans="1:48" ht="30" customHeight="1" x14ac:dyDescent="0.3">
      <c r="A3" s="79"/>
      <c r="B3" s="79" t="s">
        <v>359</v>
      </c>
      <c r="C3" s="79" t="s">
        <v>0</v>
      </c>
      <c r="D3" s="80" t="s">
        <v>1</v>
      </c>
      <c r="E3" s="81" t="s">
        <v>361</v>
      </c>
      <c r="F3" s="82"/>
      <c r="G3" s="82"/>
      <c r="H3" s="83"/>
      <c r="I3" s="81" t="s">
        <v>8</v>
      </c>
      <c r="J3" s="79" t="s">
        <v>9</v>
      </c>
      <c r="K3" s="79" t="s">
        <v>2158</v>
      </c>
      <c r="L3" s="84" t="s">
        <v>4</v>
      </c>
      <c r="M3" s="85">
        <v>260350</v>
      </c>
      <c r="N3" s="86">
        <v>144780</v>
      </c>
      <c r="O3" s="87">
        <v>45292</v>
      </c>
      <c r="P3" s="88" t="s">
        <v>18</v>
      </c>
      <c r="Q3" s="84" t="s">
        <v>5</v>
      </c>
      <c r="R3" s="89" t="s">
        <v>425</v>
      </c>
      <c r="S3" s="90" t="s">
        <v>471</v>
      </c>
      <c r="T3" s="79" t="s">
        <v>397</v>
      </c>
      <c r="U3" s="79" t="s">
        <v>398</v>
      </c>
      <c r="V3" s="79" t="s">
        <v>399</v>
      </c>
      <c r="W3" s="79" t="s">
        <v>400</v>
      </c>
      <c r="X3" s="79" t="s">
        <v>401</v>
      </c>
      <c r="Y3" s="79"/>
      <c r="Z3" s="91" t="s">
        <v>18</v>
      </c>
      <c r="AA3" s="91"/>
      <c r="AB3" s="91"/>
      <c r="AC3" s="79" t="s">
        <v>411</v>
      </c>
      <c r="AD3" s="79" t="s">
        <v>405</v>
      </c>
      <c r="AE3" s="79" t="s">
        <v>404</v>
      </c>
      <c r="AF3" s="92" t="s">
        <v>447</v>
      </c>
      <c r="AG3" s="93" t="s">
        <v>453</v>
      </c>
      <c r="AH3" s="79" t="s">
        <v>405</v>
      </c>
      <c r="AI3" s="79" t="s">
        <v>406</v>
      </c>
      <c r="AJ3" s="92" t="s">
        <v>443</v>
      </c>
      <c r="AK3" s="79" t="s">
        <v>18</v>
      </c>
      <c r="AL3" s="79" t="s">
        <v>408</v>
      </c>
      <c r="AM3" s="92" t="s">
        <v>496</v>
      </c>
      <c r="AN3" s="92" t="s">
        <v>455</v>
      </c>
      <c r="AO3" s="92" t="s">
        <v>459</v>
      </c>
      <c r="AP3" s="94" t="s">
        <v>412</v>
      </c>
      <c r="AQ3" s="92" t="s">
        <v>1458</v>
      </c>
      <c r="AR3" s="92" t="s">
        <v>1459</v>
      </c>
      <c r="AS3" s="92" t="s">
        <v>1460</v>
      </c>
      <c r="AT3" s="79"/>
      <c r="AU3" s="79"/>
      <c r="AV3" s="92" t="e">
        <f>VLOOKUP(I3, Kiegészítő_Mátrix!C:E, 3, FALSE)</f>
        <v>#N/A</v>
      </c>
    </row>
    <row r="4" spans="1:48" ht="30" customHeight="1" x14ac:dyDescent="0.3">
      <c r="A4" s="79"/>
      <c r="B4" s="79" t="s">
        <v>359</v>
      </c>
      <c r="C4" s="79" t="s">
        <v>0</v>
      </c>
      <c r="D4" s="80" t="s">
        <v>1</v>
      </c>
      <c r="E4" s="81" t="s">
        <v>361</v>
      </c>
      <c r="F4" s="82"/>
      <c r="G4" s="82"/>
      <c r="H4" s="83"/>
      <c r="I4" s="81" t="s">
        <v>10</v>
      </c>
      <c r="J4" s="79" t="s">
        <v>11</v>
      </c>
      <c r="K4" s="79" t="s">
        <v>2158</v>
      </c>
      <c r="L4" s="84" t="s">
        <v>4</v>
      </c>
      <c r="M4" s="85">
        <v>299720</v>
      </c>
      <c r="N4" s="95" t="s">
        <v>12</v>
      </c>
      <c r="O4" s="96">
        <v>42064</v>
      </c>
      <c r="P4" s="88" t="s">
        <v>18</v>
      </c>
      <c r="Q4" s="84" t="s">
        <v>5</v>
      </c>
      <c r="R4" s="89" t="s">
        <v>433</v>
      </c>
      <c r="S4" s="90" t="s">
        <v>470</v>
      </c>
      <c r="T4" s="92" t="s">
        <v>397</v>
      </c>
      <c r="U4" s="92" t="s">
        <v>398</v>
      </c>
      <c r="V4" s="92" t="s">
        <v>399</v>
      </c>
      <c r="W4" s="92" t="s">
        <v>434</v>
      </c>
      <c r="X4" s="92" t="s">
        <v>401</v>
      </c>
      <c r="Y4" s="92"/>
      <c r="Z4" s="97" t="s">
        <v>18</v>
      </c>
      <c r="AA4" s="97"/>
      <c r="AB4" s="97"/>
      <c r="AC4" s="92" t="s">
        <v>402</v>
      </c>
      <c r="AD4" s="92" t="s">
        <v>403</v>
      </c>
      <c r="AE4" s="92" t="s">
        <v>418</v>
      </c>
      <c r="AF4" s="92" t="s">
        <v>446</v>
      </c>
      <c r="AG4" s="93" t="s">
        <v>452</v>
      </c>
      <c r="AH4" s="92" t="s">
        <v>405</v>
      </c>
      <c r="AI4" s="92" t="s">
        <v>406</v>
      </c>
      <c r="AJ4" s="92" t="s">
        <v>407</v>
      </c>
      <c r="AK4" s="92" t="s">
        <v>18</v>
      </c>
      <c r="AL4" s="92" t="s">
        <v>408</v>
      </c>
      <c r="AM4" s="92" t="s">
        <v>488</v>
      </c>
      <c r="AN4" s="92" t="s">
        <v>456</v>
      </c>
      <c r="AO4" s="92" t="s">
        <v>457</v>
      </c>
      <c r="AP4" s="92" t="s">
        <v>432</v>
      </c>
      <c r="AQ4" s="92" t="s">
        <v>1461</v>
      </c>
      <c r="AR4" s="92" t="s">
        <v>1462</v>
      </c>
      <c r="AS4" s="92" t="s">
        <v>1463</v>
      </c>
      <c r="AT4" s="79" t="s">
        <v>13</v>
      </c>
      <c r="AU4" s="79"/>
      <c r="AV4" s="92" t="e">
        <f>VLOOKUP(I4, Kiegészítő_Mátrix!C:E, 3, FALSE)</f>
        <v>#N/A</v>
      </c>
    </row>
    <row r="5" spans="1:48" ht="30" customHeight="1" x14ac:dyDescent="0.3">
      <c r="A5" s="79"/>
      <c r="B5" s="79" t="s">
        <v>359</v>
      </c>
      <c r="C5" s="79" t="s">
        <v>0</v>
      </c>
      <c r="D5" s="80" t="s">
        <v>1</v>
      </c>
      <c r="E5" s="81" t="s">
        <v>361</v>
      </c>
      <c r="F5" s="82"/>
      <c r="G5" s="82"/>
      <c r="H5" s="83"/>
      <c r="I5" s="81" t="s">
        <v>14</v>
      </c>
      <c r="J5" s="79" t="s">
        <v>15</v>
      </c>
      <c r="K5" s="79" t="s">
        <v>2158</v>
      </c>
      <c r="L5" s="84" t="s">
        <v>16</v>
      </c>
      <c r="M5" s="85">
        <v>298450</v>
      </c>
      <c r="N5" s="95">
        <v>182880</v>
      </c>
      <c r="O5" s="96">
        <v>42522</v>
      </c>
      <c r="P5" s="88" t="s">
        <v>18</v>
      </c>
      <c r="Q5" s="84" t="s">
        <v>5</v>
      </c>
      <c r="R5" s="89" t="s">
        <v>428</v>
      </c>
      <c r="S5" s="90" t="s">
        <v>469</v>
      </c>
      <c r="T5" s="92" t="s">
        <v>397</v>
      </c>
      <c r="U5" s="92" t="s">
        <v>435</v>
      </c>
      <c r="V5" s="92" t="s">
        <v>414</v>
      </c>
      <c r="W5" s="92" t="s">
        <v>436</v>
      </c>
      <c r="X5" s="92" t="s">
        <v>437</v>
      </c>
      <c r="Y5" s="92"/>
      <c r="Z5" s="97" t="s">
        <v>18</v>
      </c>
      <c r="AA5" s="97"/>
      <c r="AB5" s="97"/>
      <c r="AC5" s="92" t="s">
        <v>429</v>
      </c>
      <c r="AD5" s="92" t="s">
        <v>405</v>
      </c>
      <c r="AE5" s="92" t="s">
        <v>404</v>
      </c>
      <c r="AF5" s="92" t="s">
        <v>419</v>
      </c>
      <c r="AG5" s="92" t="s">
        <v>419</v>
      </c>
      <c r="AH5" s="92" t="s">
        <v>405</v>
      </c>
      <c r="AI5" s="92" t="s">
        <v>406</v>
      </c>
      <c r="AJ5" s="92" t="s">
        <v>407</v>
      </c>
      <c r="AK5" s="92" t="s">
        <v>18</v>
      </c>
      <c r="AL5" s="92" t="s">
        <v>408</v>
      </c>
      <c r="AM5" s="92" t="s">
        <v>496</v>
      </c>
      <c r="AN5" s="92" t="s">
        <v>444</v>
      </c>
      <c r="AO5" s="92" t="s">
        <v>431</v>
      </c>
      <c r="AP5" s="92" t="s">
        <v>430</v>
      </c>
      <c r="AQ5" s="92" t="s">
        <v>1464</v>
      </c>
      <c r="AR5" s="92" t="s">
        <v>1465</v>
      </c>
      <c r="AS5" s="92" t="s">
        <v>1466</v>
      </c>
      <c r="AT5" s="79"/>
      <c r="AU5" s="79"/>
      <c r="AV5" s="92" t="e">
        <f>VLOOKUP(I5, Kiegészítő_Mátrix!C:E, 3, FALSE)</f>
        <v>#N/A</v>
      </c>
    </row>
    <row r="6" spans="1:48" ht="30" customHeight="1" x14ac:dyDescent="0.3">
      <c r="A6" s="79"/>
      <c r="B6" s="79" t="s">
        <v>359</v>
      </c>
      <c r="C6" s="79" t="s">
        <v>0</v>
      </c>
      <c r="D6" s="80" t="s">
        <v>1</v>
      </c>
      <c r="E6" s="81" t="s">
        <v>361</v>
      </c>
      <c r="F6" s="98"/>
      <c r="G6" s="98"/>
      <c r="H6" s="83"/>
      <c r="I6" s="81" t="s">
        <v>441</v>
      </c>
      <c r="J6" s="79" t="s">
        <v>423</v>
      </c>
      <c r="K6" s="79" t="s">
        <v>2158</v>
      </c>
      <c r="L6" s="84" t="s">
        <v>16</v>
      </c>
      <c r="M6" s="85">
        <v>317500</v>
      </c>
      <c r="N6" s="95" t="s">
        <v>12</v>
      </c>
      <c r="O6" s="96">
        <v>46023</v>
      </c>
      <c r="P6" s="88" t="s">
        <v>18</v>
      </c>
      <c r="Q6" s="84" t="s">
        <v>17</v>
      </c>
      <c r="R6" s="89" t="s">
        <v>426</v>
      </c>
      <c r="S6" s="90" t="s">
        <v>1236</v>
      </c>
      <c r="T6" s="79" t="s">
        <v>397</v>
      </c>
      <c r="U6" s="79" t="s">
        <v>413</v>
      </c>
      <c r="V6" s="79" t="s">
        <v>414</v>
      </c>
      <c r="W6" s="79" t="s">
        <v>415</v>
      </c>
      <c r="X6" s="79" t="s">
        <v>416</v>
      </c>
      <c r="Y6" s="79"/>
      <c r="Z6" s="91" t="s">
        <v>18</v>
      </c>
      <c r="AA6" s="91"/>
      <c r="AB6" s="91"/>
      <c r="AC6" s="79" t="s">
        <v>402</v>
      </c>
      <c r="AD6" s="79" t="s">
        <v>417</v>
      </c>
      <c r="AE6" s="79" t="s">
        <v>418</v>
      </c>
      <c r="AF6" s="92" t="s">
        <v>448</v>
      </c>
      <c r="AG6" s="92" t="s">
        <v>419</v>
      </c>
      <c r="AH6" s="79" t="s">
        <v>420</v>
      </c>
      <c r="AI6" s="79" t="s">
        <v>406</v>
      </c>
      <c r="AJ6" s="92" t="s">
        <v>421</v>
      </c>
      <c r="AK6" s="79" t="s">
        <v>18</v>
      </c>
      <c r="AL6" s="79" t="s">
        <v>408</v>
      </c>
      <c r="AM6" s="92" t="s">
        <v>488</v>
      </c>
      <c r="AN6" s="92" t="s">
        <v>444</v>
      </c>
      <c r="AO6" s="92" t="s">
        <v>431</v>
      </c>
      <c r="AP6" s="94" t="s">
        <v>422</v>
      </c>
      <c r="AQ6" s="92" t="s">
        <v>1467</v>
      </c>
      <c r="AR6" s="92" t="s">
        <v>1468</v>
      </c>
      <c r="AS6" s="92" t="s">
        <v>1469</v>
      </c>
      <c r="AT6" s="79"/>
      <c r="AU6" s="79"/>
      <c r="AV6" s="92" t="e">
        <f>VLOOKUP(I6, Kiegészítő_Mátrix!C:E, 3, FALSE)</f>
        <v>#N/A</v>
      </c>
    </row>
    <row r="7" spans="1:48" ht="30" customHeight="1" x14ac:dyDescent="0.3">
      <c r="A7" s="79"/>
      <c r="B7" s="79" t="s">
        <v>359</v>
      </c>
      <c r="C7" s="79" t="s">
        <v>0</v>
      </c>
      <c r="D7" s="80" t="s">
        <v>1</v>
      </c>
      <c r="E7" s="81" t="s">
        <v>361</v>
      </c>
      <c r="F7" s="82"/>
      <c r="G7" s="82"/>
      <c r="H7" s="83"/>
      <c r="I7" s="99" t="s">
        <v>19</v>
      </c>
      <c r="J7" s="100" t="s">
        <v>20</v>
      </c>
      <c r="K7" s="100" t="s">
        <v>2158</v>
      </c>
      <c r="L7" s="101"/>
      <c r="M7" s="85">
        <v>247650</v>
      </c>
      <c r="N7" s="95" t="s">
        <v>12</v>
      </c>
      <c r="O7" s="96">
        <v>44927</v>
      </c>
      <c r="P7" s="88" t="s">
        <v>18</v>
      </c>
      <c r="Q7" s="84" t="s">
        <v>17</v>
      </c>
      <c r="R7" s="89" t="s">
        <v>445</v>
      </c>
      <c r="S7" s="90" t="s">
        <v>468</v>
      </c>
      <c r="T7" s="92" t="s">
        <v>397</v>
      </c>
      <c r="U7" s="92" t="s">
        <v>398</v>
      </c>
      <c r="V7" s="92" t="s">
        <v>438</v>
      </c>
      <c r="W7" s="92" t="s">
        <v>439</v>
      </c>
      <c r="X7" s="92" t="s">
        <v>681</v>
      </c>
      <c r="Y7" s="92"/>
      <c r="Z7" s="97" t="s">
        <v>18</v>
      </c>
      <c r="AA7" s="97"/>
      <c r="AB7" s="91"/>
      <c r="AC7" s="92" t="s">
        <v>402</v>
      </c>
      <c r="AD7" s="92" t="s">
        <v>403</v>
      </c>
      <c r="AE7" s="92" t="s">
        <v>418</v>
      </c>
      <c r="AF7" s="92" t="s">
        <v>419</v>
      </c>
      <c r="AG7" s="92" t="s">
        <v>449</v>
      </c>
      <c r="AH7" s="92" t="s">
        <v>405</v>
      </c>
      <c r="AI7" s="92" t="s">
        <v>406</v>
      </c>
      <c r="AJ7" s="92" t="s">
        <v>484</v>
      </c>
      <c r="AK7" s="92" t="s">
        <v>18</v>
      </c>
      <c r="AL7" s="92" t="s">
        <v>408</v>
      </c>
      <c r="AM7" s="92" t="s">
        <v>496</v>
      </c>
      <c r="AN7" s="92" t="s">
        <v>486</v>
      </c>
      <c r="AO7" s="92" t="s">
        <v>485</v>
      </c>
      <c r="AP7" s="92" t="s">
        <v>440</v>
      </c>
      <c r="AQ7" s="92" t="s">
        <v>1470</v>
      </c>
      <c r="AR7" s="92" t="s">
        <v>1471</v>
      </c>
      <c r="AS7" s="92" t="s">
        <v>1472</v>
      </c>
      <c r="AT7" s="79"/>
      <c r="AU7" s="79"/>
      <c r="AV7" s="92" t="e">
        <f>VLOOKUP(I7, Kiegészítő_Mátrix!C:E, 3, FALSE)</f>
        <v>#N/A</v>
      </c>
    </row>
    <row r="8" spans="1:48" ht="12.6" customHeight="1" x14ac:dyDescent="0.3">
      <c r="A8" s="79"/>
      <c r="B8" s="79"/>
      <c r="C8" s="79"/>
      <c r="D8" s="80"/>
      <c r="E8" s="81"/>
      <c r="F8" s="82"/>
      <c r="G8" s="82"/>
      <c r="H8" s="83"/>
      <c r="I8" s="83"/>
      <c r="J8" s="79"/>
      <c r="K8" s="79"/>
      <c r="L8" s="84"/>
      <c r="M8" s="85"/>
      <c r="N8" s="95"/>
      <c r="O8" s="96"/>
      <c r="P8" s="88" t="s">
        <v>18</v>
      </c>
      <c r="Q8" s="84"/>
      <c r="R8" s="89"/>
      <c r="S8" s="90"/>
      <c r="T8" s="79"/>
      <c r="U8" s="79"/>
      <c r="V8" s="79"/>
      <c r="W8" s="79"/>
      <c r="X8" s="79"/>
      <c r="Y8" s="79"/>
      <c r="Z8" s="91"/>
      <c r="AA8" s="91"/>
      <c r="AB8" s="91"/>
      <c r="AC8" s="79"/>
      <c r="AD8" s="79"/>
      <c r="AE8" s="79"/>
      <c r="AF8" s="92"/>
      <c r="AG8" s="92"/>
      <c r="AH8" s="79"/>
      <c r="AI8" s="79"/>
      <c r="AJ8" s="92"/>
      <c r="AK8" s="79"/>
      <c r="AL8" s="79"/>
      <c r="AM8" s="92"/>
      <c r="AN8" s="92"/>
      <c r="AO8" s="92"/>
      <c r="AP8" s="92"/>
      <c r="AQ8" s="92"/>
      <c r="AR8" s="92"/>
      <c r="AS8" s="92"/>
      <c r="AT8" s="79"/>
      <c r="AU8" s="79"/>
      <c r="AV8" s="92" t="e">
        <f>VLOOKUP(I8, Kiegészítő_Mátrix!C:E, 3, FALSE)</f>
        <v>#N/A</v>
      </c>
    </row>
    <row r="9" spans="1:48" ht="30" customHeight="1" x14ac:dyDescent="0.3">
      <c r="A9" s="79"/>
      <c r="B9" s="79" t="s">
        <v>359</v>
      </c>
      <c r="C9" s="79" t="s">
        <v>0</v>
      </c>
      <c r="D9" s="80" t="s">
        <v>22</v>
      </c>
      <c r="E9" s="81" t="s">
        <v>362</v>
      </c>
      <c r="F9" s="82"/>
      <c r="G9" s="82"/>
      <c r="H9" s="83"/>
      <c r="I9" s="81" t="s">
        <v>23</v>
      </c>
      <c r="J9" s="79" t="s">
        <v>24</v>
      </c>
      <c r="K9" s="79" t="s">
        <v>2158</v>
      </c>
      <c r="L9" s="84" t="s">
        <v>4</v>
      </c>
      <c r="M9" s="85">
        <v>615950</v>
      </c>
      <c r="N9" s="95">
        <v>336550</v>
      </c>
      <c r="O9" s="96">
        <v>44378</v>
      </c>
      <c r="P9" s="88" t="s">
        <v>18</v>
      </c>
      <c r="Q9" s="84" t="s">
        <v>5</v>
      </c>
      <c r="R9" s="89" t="s">
        <v>463</v>
      </c>
      <c r="S9" s="90" t="s">
        <v>467</v>
      </c>
      <c r="T9" s="92" t="s">
        <v>499</v>
      </c>
      <c r="U9" s="92" t="s">
        <v>460</v>
      </c>
      <c r="V9" s="92" t="s">
        <v>399</v>
      </c>
      <c r="W9" s="92" t="s">
        <v>434</v>
      </c>
      <c r="X9" s="92" t="s">
        <v>401</v>
      </c>
      <c r="Y9" s="92"/>
      <c r="Z9" s="97" t="s">
        <v>18</v>
      </c>
      <c r="AA9" s="97"/>
      <c r="AB9" s="97"/>
      <c r="AC9" s="92" t="s">
        <v>402</v>
      </c>
      <c r="AD9" s="92" t="s">
        <v>403</v>
      </c>
      <c r="AE9" s="92" t="s">
        <v>418</v>
      </c>
      <c r="AF9" s="92" t="s">
        <v>446</v>
      </c>
      <c r="AG9" s="92" t="s">
        <v>453</v>
      </c>
      <c r="AH9" s="92" t="s">
        <v>405</v>
      </c>
      <c r="AI9" s="92" t="s">
        <v>406</v>
      </c>
      <c r="AJ9" s="92" t="s">
        <v>407</v>
      </c>
      <c r="AK9" s="92" t="s">
        <v>18</v>
      </c>
      <c r="AL9" s="92" t="s">
        <v>408</v>
      </c>
      <c r="AM9" s="92" t="s">
        <v>488</v>
      </c>
      <c r="AN9" s="92" t="s">
        <v>464</v>
      </c>
      <c r="AO9" s="92" t="s">
        <v>465</v>
      </c>
      <c r="AP9" s="94" t="s">
        <v>25</v>
      </c>
      <c r="AQ9" s="92" t="s">
        <v>1473</v>
      </c>
      <c r="AR9" s="92" t="s">
        <v>1474</v>
      </c>
      <c r="AS9" s="92" t="s">
        <v>1475</v>
      </c>
      <c r="AT9" s="79"/>
      <c r="AU9" s="79"/>
      <c r="AV9" s="92" t="e">
        <f>VLOOKUP(I9, Kiegészítő_Mátrix!C:E, 3, FALSE)</f>
        <v>#N/A</v>
      </c>
    </row>
    <row r="10" spans="1:48" s="15" customFormat="1" ht="30" customHeight="1" x14ac:dyDescent="0.3">
      <c r="A10" s="92"/>
      <c r="B10" s="92" t="s">
        <v>359</v>
      </c>
      <c r="C10" s="79" t="s">
        <v>0</v>
      </c>
      <c r="D10" s="102" t="s">
        <v>22</v>
      </c>
      <c r="E10" s="90" t="s">
        <v>362</v>
      </c>
      <c r="F10" s="103"/>
      <c r="G10" s="103"/>
      <c r="H10" s="104"/>
      <c r="I10" s="90" t="s">
        <v>26</v>
      </c>
      <c r="J10" s="92" t="s">
        <v>27</v>
      </c>
      <c r="K10" s="92" t="s">
        <v>2158</v>
      </c>
      <c r="L10" s="105" t="s">
        <v>4</v>
      </c>
      <c r="M10" s="106">
        <v>1257300</v>
      </c>
      <c r="N10" s="107" t="s">
        <v>12</v>
      </c>
      <c r="O10" s="108">
        <v>44378</v>
      </c>
      <c r="P10" s="109" t="s">
        <v>18</v>
      </c>
      <c r="Q10" s="105" t="s">
        <v>5</v>
      </c>
      <c r="R10" s="89" t="s">
        <v>487</v>
      </c>
      <c r="S10" s="90" t="s">
        <v>497</v>
      </c>
      <c r="T10" s="92" t="s">
        <v>493</v>
      </c>
      <c r="U10" s="92" t="s">
        <v>489</v>
      </c>
      <c r="V10" s="92" t="s">
        <v>490</v>
      </c>
      <c r="W10" s="92" t="s">
        <v>491</v>
      </c>
      <c r="X10" s="92" t="s">
        <v>492</v>
      </c>
      <c r="Y10" s="92"/>
      <c r="Z10" s="97" t="s">
        <v>18</v>
      </c>
      <c r="AA10" s="97"/>
      <c r="AB10" s="97"/>
      <c r="AC10" s="92" t="s">
        <v>402</v>
      </c>
      <c r="AD10" s="92" t="s">
        <v>403</v>
      </c>
      <c r="AE10" s="92" t="s">
        <v>418</v>
      </c>
      <c r="AF10" s="92" t="s">
        <v>446</v>
      </c>
      <c r="AG10" s="92" t="s">
        <v>453</v>
      </c>
      <c r="AH10" s="92" t="s">
        <v>405</v>
      </c>
      <c r="AI10" s="92" t="s">
        <v>406</v>
      </c>
      <c r="AJ10" s="92" t="s">
        <v>407</v>
      </c>
      <c r="AK10" s="92" t="s">
        <v>18</v>
      </c>
      <c r="AL10" s="92" t="s">
        <v>408</v>
      </c>
      <c r="AM10" s="92" t="s">
        <v>488</v>
      </c>
      <c r="AN10" s="92" t="s">
        <v>494</v>
      </c>
      <c r="AO10" s="92" t="s">
        <v>495</v>
      </c>
      <c r="AP10" s="94" t="s">
        <v>25</v>
      </c>
      <c r="AQ10" s="92" t="s">
        <v>1476</v>
      </c>
      <c r="AR10" s="92" t="s">
        <v>1477</v>
      </c>
      <c r="AS10" s="92" t="s">
        <v>1478</v>
      </c>
      <c r="AT10" s="92"/>
      <c r="AU10" s="92"/>
      <c r="AV10" s="92" t="e">
        <f>VLOOKUP(I10, Kiegészítő_Mátrix!C:E, 3, FALSE)</f>
        <v>#N/A</v>
      </c>
    </row>
    <row r="11" spans="1:48" ht="30" customHeight="1" x14ac:dyDescent="0.3">
      <c r="A11" s="79"/>
      <c r="B11" s="79" t="s">
        <v>359</v>
      </c>
      <c r="C11" s="79" t="s">
        <v>0</v>
      </c>
      <c r="D11" s="80" t="s">
        <v>22</v>
      </c>
      <c r="E11" s="81" t="s">
        <v>362</v>
      </c>
      <c r="F11" s="82"/>
      <c r="G11" s="82"/>
      <c r="H11" s="83"/>
      <c r="I11" s="81" t="s">
        <v>28</v>
      </c>
      <c r="J11" s="79" t="s">
        <v>29</v>
      </c>
      <c r="K11" s="79" t="s">
        <v>2158</v>
      </c>
      <c r="L11" s="84" t="s">
        <v>4</v>
      </c>
      <c r="M11" s="85">
        <v>1587500</v>
      </c>
      <c r="N11" s="95" t="s">
        <v>12</v>
      </c>
      <c r="O11" s="96">
        <v>44378</v>
      </c>
      <c r="P11" s="88" t="s">
        <v>18</v>
      </c>
      <c r="Q11" s="101" t="s">
        <v>17</v>
      </c>
      <c r="R11" s="89" t="s">
        <v>466</v>
      </c>
      <c r="S11" s="90" t="s">
        <v>498</v>
      </c>
      <c r="T11" s="92" t="s">
        <v>500</v>
      </c>
      <c r="U11" s="92" t="s">
        <v>462</v>
      </c>
      <c r="V11" s="92" t="s">
        <v>399</v>
      </c>
      <c r="W11" s="92" t="s">
        <v>434</v>
      </c>
      <c r="X11" s="92" t="s">
        <v>401</v>
      </c>
      <c r="Y11" s="92"/>
      <c r="Z11" s="97" t="s">
        <v>18</v>
      </c>
      <c r="AA11" s="97"/>
      <c r="AB11" s="97"/>
      <c r="AC11" s="92" t="s">
        <v>402</v>
      </c>
      <c r="AD11" s="92" t="s">
        <v>403</v>
      </c>
      <c r="AE11" s="92" t="s">
        <v>418</v>
      </c>
      <c r="AF11" s="92" t="s">
        <v>446</v>
      </c>
      <c r="AG11" s="92" t="s">
        <v>461</v>
      </c>
      <c r="AH11" s="92" t="s">
        <v>405</v>
      </c>
      <c r="AI11" s="92" t="s">
        <v>406</v>
      </c>
      <c r="AJ11" s="92" t="s">
        <v>407</v>
      </c>
      <c r="AK11" s="92" t="s">
        <v>18</v>
      </c>
      <c r="AL11" s="92" t="s">
        <v>408</v>
      </c>
      <c r="AM11" s="92" t="s">
        <v>488</v>
      </c>
      <c r="AN11" s="92" t="s">
        <v>474</v>
      </c>
      <c r="AO11" s="92" t="s">
        <v>473</v>
      </c>
      <c r="AP11" s="94" t="s">
        <v>25</v>
      </c>
      <c r="AQ11" s="92" t="s">
        <v>1479</v>
      </c>
      <c r="AR11" s="92" t="s">
        <v>1480</v>
      </c>
      <c r="AS11" s="92" t="s">
        <v>1481</v>
      </c>
      <c r="AT11" s="79"/>
      <c r="AU11" s="79"/>
      <c r="AV11" s="92" t="e">
        <f>VLOOKUP(I11, Kiegészítő_Mátrix!C:E, 3, FALSE)</f>
        <v>#N/A</v>
      </c>
    </row>
    <row r="12" spans="1:48" ht="30" customHeight="1" x14ac:dyDescent="0.3">
      <c r="A12" s="79"/>
      <c r="B12" s="79" t="s">
        <v>359</v>
      </c>
      <c r="C12" s="79" t="s">
        <v>0</v>
      </c>
      <c r="D12" s="80" t="s">
        <v>22</v>
      </c>
      <c r="E12" s="81" t="s">
        <v>362</v>
      </c>
      <c r="F12" s="82"/>
      <c r="G12" s="82"/>
      <c r="H12" s="83"/>
      <c r="I12" s="81" t="s">
        <v>31</v>
      </c>
      <c r="J12" s="79" t="s">
        <v>32</v>
      </c>
      <c r="K12" s="79"/>
      <c r="L12" s="84"/>
      <c r="M12" s="85"/>
      <c r="N12" s="110"/>
      <c r="O12" s="111"/>
      <c r="P12" s="112"/>
      <c r="Q12" s="101"/>
      <c r="R12" s="89"/>
      <c r="S12" s="90"/>
      <c r="T12" s="79"/>
      <c r="U12" s="79"/>
      <c r="V12" s="79"/>
      <c r="W12" s="79"/>
      <c r="X12" s="79"/>
      <c r="Y12" s="79"/>
      <c r="Z12" s="91"/>
      <c r="AA12" s="91"/>
      <c r="AB12" s="91"/>
      <c r="AC12" s="79"/>
      <c r="AD12" s="79"/>
      <c r="AE12" s="79"/>
      <c r="AF12" s="92"/>
      <c r="AG12" s="92"/>
      <c r="AH12" s="79"/>
      <c r="AI12" s="79"/>
      <c r="AJ12" s="92"/>
      <c r="AK12" s="79"/>
      <c r="AL12" s="79"/>
      <c r="AM12" s="92"/>
      <c r="AN12" s="92"/>
      <c r="AO12" s="92"/>
      <c r="AP12" s="94" t="s">
        <v>7</v>
      </c>
      <c r="AQ12" s="92"/>
      <c r="AR12" s="92"/>
      <c r="AS12" s="92"/>
      <c r="AT12" s="79"/>
      <c r="AU12" s="79"/>
      <c r="AV12" s="92" t="e">
        <f>VLOOKUP(I12, Kiegészítő_Mátrix!C:E, 3, FALSE)</f>
        <v>#N/A</v>
      </c>
    </row>
    <row r="13" spans="1:48" ht="30" customHeight="1" x14ac:dyDescent="0.3">
      <c r="A13" s="79"/>
      <c r="B13" s="79"/>
      <c r="C13" s="79"/>
      <c r="D13" s="82"/>
      <c r="E13" s="83"/>
      <c r="F13" s="82"/>
      <c r="G13" s="82"/>
      <c r="H13" s="83"/>
      <c r="I13" s="83"/>
      <c r="J13" s="79"/>
      <c r="K13" s="79"/>
      <c r="L13" s="84"/>
      <c r="M13" s="85"/>
      <c r="N13" s="86"/>
      <c r="O13" s="87"/>
      <c r="P13" s="91"/>
      <c r="Q13" s="84"/>
      <c r="R13" s="89"/>
      <c r="S13" s="90"/>
      <c r="T13" s="79"/>
      <c r="U13" s="79"/>
      <c r="V13" s="79"/>
      <c r="W13" s="79"/>
      <c r="X13" s="79"/>
      <c r="Y13" s="79"/>
      <c r="Z13" s="91"/>
      <c r="AA13" s="91"/>
      <c r="AB13" s="91"/>
      <c r="AC13" s="79"/>
      <c r="AD13" s="79"/>
      <c r="AE13" s="79"/>
      <c r="AF13" s="92"/>
      <c r="AG13" s="92"/>
      <c r="AH13" s="79"/>
      <c r="AI13" s="79"/>
      <c r="AJ13" s="92"/>
      <c r="AK13" s="79"/>
      <c r="AL13" s="79"/>
      <c r="AM13" s="92"/>
      <c r="AN13" s="92"/>
      <c r="AO13" s="92"/>
      <c r="AP13" s="92"/>
      <c r="AQ13" s="92"/>
      <c r="AR13" s="92"/>
      <c r="AS13" s="92"/>
      <c r="AT13" s="79"/>
      <c r="AU13" s="79"/>
      <c r="AV13" s="92" t="e">
        <f>VLOOKUP(I13, Kiegészítő_Mátrix!C:E, 3, FALSE)</f>
        <v>#N/A</v>
      </c>
    </row>
    <row r="14" spans="1:48" ht="30" customHeight="1" x14ac:dyDescent="0.3">
      <c r="A14" s="79"/>
      <c r="B14" s="79" t="s">
        <v>359</v>
      </c>
      <c r="C14" s="79" t="s">
        <v>0</v>
      </c>
      <c r="D14" s="80" t="s">
        <v>33</v>
      </c>
      <c r="E14" s="81" t="s">
        <v>363</v>
      </c>
      <c r="F14" s="82"/>
      <c r="G14" s="82"/>
      <c r="H14" s="83"/>
      <c r="I14" s="81" t="s">
        <v>34</v>
      </c>
      <c r="J14" s="79" t="s">
        <v>35</v>
      </c>
      <c r="K14" s="79" t="s">
        <v>475</v>
      </c>
      <c r="L14" s="84" t="s">
        <v>4</v>
      </c>
      <c r="M14" s="85"/>
      <c r="N14" s="86"/>
      <c r="O14" s="87">
        <v>42036</v>
      </c>
      <c r="P14" s="91"/>
      <c r="Q14" s="84" t="s">
        <v>5</v>
      </c>
      <c r="R14" s="89" t="s">
        <v>476</v>
      </c>
      <c r="S14" s="90" t="s">
        <v>477</v>
      </c>
      <c r="T14" s="79"/>
      <c r="U14" s="79"/>
      <c r="V14" s="79"/>
      <c r="W14" s="79"/>
      <c r="X14" s="79"/>
      <c r="Y14" s="79"/>
      <c r="Z14" s="91"/>
      <c r="AA14" s="91"/>
      <c r="AB14" s="91"/>
      <c r="AC14" s="79"/>
      <c r="AD14" s="79"/>
      <c r="AE14" s="79"/>
      <c r="AF14" s="92"/>
      <c r="AG14" s="92"/>
      <c r="AH14" s="79"/>
      <c r="AI14" s="79"/>
      <c r="AJ14" s="92"/>
      <c r="AK14" s="79"/>
      <c r="AL14" s="79"/>
      <c r="AM14" s="92"/>
      <c r="AN14" s="92" t="s">
        <v>480</v>
      </c>
      <c r="AO14" s="92" t="s">
        <v>481</v>
      </c>
      <c r="AP14" s="94" t="s">
        <v>7</v>
      </c>
      <c r="AQ14" s="92" t="s">
        <v>1482</v>
      </c>
      <c r="AR14" s="92" t="s">
        <v>1483</v>
      </c>
      <c r="AS14" s="92" t="s">
        <v>1484</v>
      </c>
      <c r="AT14" s="79"/>
      <c r="AU14" s="79"/>
      <c r="AV14" s="92" t="e">
        <f>VLOOKUP(I14, Kiegészítő_Mátrix!C:E, 3, FALSE)</f>
        <v>#N/A</v>
      </c>
    </row>
    <row r="15" spans="1:48" ht="30" customHeight="1" x14ac:dyDescent="0.3">
      <c r="A15" s="79"/>
      <c r="B15" s="79" t="s">
        <v>359</v>
      </c>
      <c r="C15" s="79" t="s">
        <v>0</v>
      </c>
      <c r="D15" s="80" t="s">
        <v>33</v>
      </c>
      <c r="E15" s="81" t="s">
        <v>363</v>
      </c>
      <c r="F15" s="82"/>
      <c r="G15" s="82"/>
      <c r="H15" s="83"/>
      <c r="I15" s="81" t="s">
        <v>36</v>
      </c>
      <c r="J15" s="79" t="s">
        <v>37</v>
      </c>
      <c r="K15" s="79" t="s">
        <v>475</v>
      </c>
      <c r="L15" s="84" t="s">
        <v>16</v>
      </c>
      <c r="M15" s="85"/>
      <c r="N15" s="86"/>
      <c r="O15" s="87">
        <v>41214</v>
      </c>
      <c r="P15" s="91"/>
      <c r="Q15" s="84" t="s">
        <v>5</v>
      </c>
      <c r="R15" s="89" t="s">
        <v>478</v>
      </c>
      <c r="S15" s="90" t="s">
        <v>477</v>
      </c>
      <c r="T15" s="79"/>
      <c r="U15" s="79"/>
      <c r="V15" s="79"/>
      <c r="W15" s="79"/>
      <c r="X15" s="79"/>
      <c r="Y15" s="79"/>
      <c r="Z15" s="91"/>
      <c r="AA15" s="91"/>
      <c r="AB15" s="91"/>
      <c r="AC15" s="79"/>
      <c r="AD15" s="79"/>
      <c r="AE15" s="79"/>
      <c r="AF15" s="92"/>
      <c r="AG15" s="92"/>
      <c r="AH15" s="79"/>
      <c r="AI15" s="79"/>
      <c r="AJ15" s="92"/>
      <c r="AK15" s="79"/>
      <c r="AL15" s="79"/>
      <c r="AM15" s="92"/>
      <c r="AN15" s="92" t="s">
        <v>483</v>
      </c>
      <c r="AO15" s="92" t="s">
        <v>482</v>
      </c>
      <c r="AP15" s="92" t="s">
        <v>38</v>
      </c>
      <c r="AQ15" s="92" t="s">
        <v>1485</v>
      </c>
      <c r="AR15" s="92" t="s">
        <v>1486</v>
      </c>
      <c r="AS15" s="92" t="s">
        <v>1487</v>
      </c>
      <c r="AT15" s="79"/>
      <c r="AU15" s="79"/>
      <c r="AV15" s="92" t="e">
        <f>VLOOKUP(I15, Kiegészítő_Mátrix!C:E, 3, FALSE)</f>
        <v>#N/A</v>
      </c>
    </row>
    <row r="16" spans="1:48" ht="30" customHeight="1" x14ac:dyDescent="0.3">
      <c r="A16" s="79"/>
      <c r="B16" s="79" t="s">
        <v>359</v>
      </c>
      <c r="C16" s="79" t="s">
        <v>0</v>
      </c>
      <c r="D16" s="80" t="s">
        <v>33</v>
      </c>
      <c r="E16" s="81" t="s">
        <v>363</v>
      </c>
      <c r="F16" s="82"/>
      <c r="G16" s="82"/>
      <c r="H16" s="83"/>
      <c r="I16" s="81" t="s">
        <v>39</v>
      </c>
      <c r="J16" s="79" t="s">
        <v>40</v>
      </c>
      <c r="K16" s="79" t="s">
        <v>475</v>
      </c>
      <c r="L16" s="84" t="s">
        <v>16</v>
      </c>
      <c r="M16" s="85"/>
      <c r="N16" s="86"/>
      <c r="O16" s="87">
        <v>42795</v>
      </c>
      <c r="P16" s="91"/>
      <c r="Q16" s="101" t="s">
        <v>17</v>
      </c>
      <c r="R16" s="89" t="s">
        <v>478</v>
      </c>
      <c r="S16" s="90" t="s">
        <v>477</v>
      </c>
      <c r="T16" s="79"/>
      <c r="U16" s="79"/>
      <c r="V16" s="79"/>
      <c r="W16" s="79"/>
      <c r="X16" s="79"/>
      <c r="Y16" s="79"/>
      <c r="Z16" s="91"/>
      <c r="AA16" s="91"/>
      <c r="AB16" s="91"/>
      <c r="AC16" s="79"/>
      <c r="AD16" s="79"/>
      <c r="AE16" s="79"/>
      <c r="AF16" s="92"/>
      <c r="AG16" s="92"/>
      <c r="AH16" s="79"/>
      <c r="AI16" s="79"/>
      <c r="AJ16" s="92"/>
      <c r="AK16" s="79"/>
      <c r="AL16" s="79"/>
      <c r="AM16" s="92"/>
      <c r="AN16" s="92" t="s">
        <v>483</v>
      </c>
      <c r="AO16" s="92" t="s">
        <v>482</v>
      </c>
      <c r="AP16" s="92" t="s">
        <v>41</v>
      </c>
      <c r="AQ16" s="92" t="s">
        <v>1488</v>
      </c>
      <c r="AR16" s="92" t="s">
        <v>1489</v>
      </c>
      <c r="AS16" s="92" t="s">
        <v>1490</v>
      </c>
      <c r="AT16" s="79"/>
      <c r="AU16" s="79"/>
      <c r="AV16" s="92" t="e">
        <f>VLOOKUP(I16, Kiegészítő_Mátrix!C:E, 3, FALSE)</f>
        <v>#N/A</v>
      </c>
    </row>
    <row r="17" spans="1:48" ht="30" customHeight="1" x14ac:dyDescent="0.3">
      <c r="A17" s="79"/>
      <c r="B17" s="79" t="s">
        <v>359</v>
      </c>
      <c r="C17" s="79" t="s">
        <v>0</v>
      </c>
      <c r="D17" s="80" t="s">
        <v>33</v>
      </c>
      <c r="E17" s="81" t="s">
        <v>363</v>
      </c>
      <c r="F17" s="80"/>
      <c r="G17" s="80"/>
      <c r="H17" s="81"/>
      <c r="I17" s="81" t="s">
        <v>42</v>
      </c>
      <c r="J17" s="79" t="s">
        <v>43</v>
      </c>
      <c r="K17" s="79" t="s">
        <v>475</v>
      </c>
      <c r="L17" s="84" t="s">
        <v>16</v>
      </c>
      <c r="M17" s="85"/>
      <c r="N17" s="86"/>
      <c r="O17" s="87">
        <v>40528</v>
      </c>
      <c r="P17" s="91"/>
      <c r="Q17" s="84" t="s">
        <v>6</v>
      </c>
      <c r="R17" s="89" t="s">
        <v>479</v>
      </c>
      <c r="S17" s="90" t="s">
        <v>477</v>
      </c>
      <c r="T17" s="79"/>
      <c r="U17" s="79"/>
      <c r="V17" s="79"/>
      <c r="W17" s="79"/>
      <c r="X17" s="79"/>
      <c r="Y17" s="79"/>
      <c r="Z17" s="91"/>
      <c r="AA17" s="91"/>
      <c r="AB17" s="91"/>
      <c r="AC17" s="79"/>
      <c r="AD17" s="79"/>
      <c r="AE17" s="79"/>
      <c r="AF17" s="92"/>
      <c r="AG17" s="92"/>
      <c r="AH17" s="79"/>
      <c r="AI17" s="79"/>
      <c r="AJ17" s="92"/>
      <c r="AK17" s="79"/>
      <c r="AL17" s="79"/>
      <c r="AM17" s="92"/>
      <c r="AN17" s="92" t="s">
        <v>483</v>
      </c>
      <c r="AO17" s="92" t="s">
        <v>482</v>
      </c>
      <c r="AP17" s="92"/>
      <c r="AQ17" s="92" t="s">
        <v>1491</v>
      </c>
      <c r="AR17" s="92" t="s">
        <v>1492</v>
      </c>
      <c r="AS17" s="92" t="s">
        <v>1493</v>
      </c>
      <c r="AT17" s="79"/>
      <c r="AU17" s="79"/>
      <c r="AV17" s="92" t="e">
        <f>VLOOKUP(I17, Kiegészítő_Mátrix!C:E, 3, FALSE)</f>
        <v>#N/A</v>
      </c>
    </row>
    <row r="18" spans="1:48" ht="30" customHeight="1" x14ac:dyDescent="0.3">
      <c r="A18" s="79"/>
      <c r="B18" s="79" t="s">
        <v>359</v>
      </c>
      <c r="C18" s="79" t="s">
        <v>0</v>
      </c>
      <c r="D18" s="80" t="s">
        <v>33</v>
      </c>
      <c r="E18" s="81" t="s">
        <v>363</v>
      </c>
      <c r="F18" s="80"/>
      <c r="G18" s="80"/>
      <c r="H18" s="81"/>
      <c r="I18" s="81" t="s">
        <v>44</v>
      </c>
      <c r="J18" s="79" t="s">
        <v>45</v>
      </c>
      <c r="K18" s="79" t="s">
        <v>475</v>
      </c>
      <c r="L18" s="84" t="s">
        <v>16</v>
      </c>
      <c r="M18" s="85"/>
      <c r="N18" s="86"/>
      <c r="O18" s="87">
        <v>40528</v>
      </c>
      <c r="P18" s="91"/>
      <c r="Q18" s="84" t="s">
        <v>6</v>
      </c>
      <c r="R18" s="89" t="s">
        <v>479</v>
      </c>
      <c r="S18" s="90" t="s">
        <v>477</v>
      </c>
      <c r="T18" s="79"/>
      <c r="U18" s="79"/>
      <c r="V18" s="79"/>
      <c r="W18" s="79"/>
      <c r="X18" s="79"/>
      <c r="Y18" s="79"/>
      <c r="Z18" s="91"/>
      <c r="AA18" s="91"/>
      <c r="AB18" s="91"/>
      <c r="AC18" s="79"/>
      <c r="AD18" s="79"/>
      <c r="AE18" s="79"/>
      <c r="AF18" s="92"/>
      <c r="AG18" s="92"/>
      <c r="AH18" s="79"/>
      <c r="AI18" s="79"/>
      <c r="AJ18" s="92"/>
      <c r="AK18" s="79"/>
      <c r="AL18" s="79"/>
      <c r="AM18" s="92"/>
      <c r="AN18" s="92" t="s">
        <v>483</v>
      </c>
      <c r="AO18" s="92" t="s">
        <v>482</v>
      </c>
      <c r="AP18" s="92"/>
      <c r="AQ18" s="92" t="s">
        <v>1494</v>
      </c>
      <c r="AR18" s="92" t="s">
        <v>1495</v>
      </c>
      <c r="AS18" s="92" t="s">
        <v>1496</v>
      </c>
      <c r="AT18" s="79"/>
      <c r="AU18" s="79"/>
      <c r="AV18" s="92" t="e">
        <f>VLOOKUP(I18, Kiegészítő_Mátrix!C:E, 3, FALSE)</f>
        <v>#N/A</v>
      </c>
    </row>
    <row r="19" spans="1:48" ht="30" customHeight="1" x14ac:dyDescent="0.3">
      <c r="A19" s="79"/>
      <c r="B19" s="79" t="s">
        <v>359</v>
      </c>
      <c r="C19" s="79" t="s">
        <v>0</v>
      </c>
      <c r="D19" s="80" t="s">
        <v>33</v>
      </c>
      <c r="E19" s="81" t="s">
        <v>363</v>
      </c>
      <c r="F19" s="80"/>
      <c r="G19" s="80"/>
      <c r="H19" s="81"/>
      <c r="I19" s="81" t="s">
        <v>46</v>
      </c>
      <c r="J19" s="79" t="s">
        <v>47</v>
      </c>
      <c r="K19" s="79" t="s">
        <v>475</v>
      </c>
      <c r="L19" s="84" t="s">
        <v>16</v>
      </c>
      <c r="M19" s="85"/>
      <c r="N19" s="86"/>
      <c r="O19" s="87">
        <v>41228</v>
      </c>
      <c r="P19" s="91"/>
      <c r="Q19" s="84" t="s">
        <v>6</v>
      </c>
      <c r="R19" s="89" t="s">
        <v>478</v>
      </c>
      <c r="S19" s="90" t="s">
        <v>477</v>
      </c>
      <c r="T19" s="79"/>
      <c r="U19" s="79"/>
      <c r="V19" s="79"/>
      <c r="W19" s="79"/>
      <c r="X19" s="79"/>
      <c r="Y19" s="79"/>
      <c r="Z19" s="91"/>
      <c r="AA19" s="91"/>
      <c r="AB19" s="91"/>
      <c r="AC19" s="79"/>
      <c r="AD19" s="79"/>
      <c r="AE19" s="79"/>
      <c r="AF19" s="92"/>
      <c r="AG19" s="92"/>
      <c r="AH19" s="79"/>
      <c r="AI19" s="79"/>
      <c r="AJ19" s="92"/>
      <c r="AK19" s="79"/>
      <c r="AL19" s="79"/>
      <c r="AM19" s="92"/>
      <c r="AN19" s="92" t="s">
        <v>483</v>
      </c>
      <c r="AO19" s="92" t="s">
        <v>482</v>
      </c>
      <c r="AP19" s="92"/>
      <c r="AQ19" s="92" t="s">
        <v>1497</v>
      </c>
      <c r="AR19" s="92" t="s">
        <v>1498</v>
      </c>
      <c r="AS19" s="92" t="s">
        <v>1499</v>
      </c>
      <c r="AT19" s="79"/>
      <c r="AU19" s="79"/>
      <c r="AV19" s="92" t="e">
        <f>VLOOKUP(I19, Kiegészítő_Mátrix!C:E, 3, FALSE)</f>
        <v>#N/A</v>
      </c>
    </row>
    <row r="20" spans="1:48" ht="30" customHeight="1" x14ac:dyDescent="0.3">
      <c r="A20" s="79"/>
      <c r="B20" s="79" t="s">
        <v>359</v>
      </c>
      <c r="C20" s="79" t="s">
        <v>0</v>
      </c>
      <c r="D20" s="80" t="s">
        <v>33</v>
      </c>
      <c r="E20" s="81" t="s">
        <v>363</v>
      </c>
      <c r="F20" s="80"/>
      <c r="G20" s="80"/>
      <c r="H20" s="81"/>
      <c r="I20" s="81" t="s">
        <v>48</v>
      </c>
      <c r="J20" s="79" t="s">
        <v>49</v>
      </c>
      <c r="K20" s="79" t="s">
        <v>475</v>
      </c>
      <c r="L20" s="84" t="s">
        <v>16</v>
      </c>
      <c r="M20" s="85"/>
      <c r="N20" s="86"/>
      <c r="O20" s="87">
        <v>41153</v>
      </c>
      <c r="P20" s="91"/>
      <c r="Q20" s="84" t="s">
        <v>6</v>
      </c>
      <c r="R20" s="89" t="s">
        <v>478</v>
      </c>
      <c r="S20" s="90" t="s">
        <v>477</v>
      </c>
      <c r="T20" s="79"/>
      <c r="U20" s="79"/>
      <c r="V20" s="79"/>
      <c r="W20" s="79"/>
      <c r="X20" s="79"/>
      <c r="Y20" s="79"/>
      <c r="Z20" s="91"/>
      <c r="AA20" s="91"/>
      <c r="AB20" s="91"/>
      <c r="AC20" s="79"/>
      <c r="AD20" s="79"/>
      <c r="AE20" s="79"/>
      <c r="AF20" s="92"/>
      <c r="AG20" s="92"/>
      <c r="AH20" s="79"/>
      <c r="AI20" s="79"/>
      <c r="AJ20" s="92"/>
      <c r="AK20" s="79"/>
      <c r="AL20" s="79"/>
      <c r="AM20" s="92"/>
      <c r="AN20" s="92" t="s">
        <v>483</v>
      </c>
      <c r="AO20" s="92" t="s">
        <v>482</v>
      </c>
      <c r="AP20" s="92"/>
      <c r="AQ20" s="92" t="s">
        <v>1500</v>
      </c>
      <c r="AR20" s="92" t="s">
        <v>1501</v>
      </c>
      <c r="AS20" s="92" t="s">
        <v>1502</v>
      </c>
      <c r="AT20" s="79"/>
      <c r="AU20" s="79"/>
      <c r="AV20" s="92" t="e">
        <f>VLOOKUP(I20, Kiegészítő_Mátrix!C:E, 3, FALSE)</f>
        <v>#N/A</v>
      </c>
    </row>
    <row r="21" spans="1:48" ht="30" customHeight="1" x14ac:dyDescent="0.3">
      <c r="A21" s="79"/>
      <c r="B21" s="79" t="s">
        <v>359</v>
      </c>
      <c r="C21" s="79" t="s">
        <v>0</v>
      </c>
      <c r="D21" s="80" t="s">
        <v>33</v>
      </c>
      <c r="E21" s="81" t="s">
        <v>363</v>
      </c>
      <c r="F21" s="80"/>
      <c r="G21" s="80"/>
      <c r="H21" s="81"/>
      <c r="I21" s="81" t="s">
        <v>50</v>
      </c>
      <c r="J21" s="79" t="s">
        <v>51</v>
      </c>
      <c r="K21" s="79" t="s">
        <v>475</v>
      </c>
      <c r="L21" s="84" t="s">
        <v>16</v>
      </c>
      <c r="M21" s="85"/>
      <c r="N21" s="86"/>
      <c r="O21" s="87">
        <v>40528</v>
      </c>
      <c r="P21" s="91"/>
      <c r="Q21" s="84" t="s">
        <v>6</v>
      </c>
      <c r="R21" s="89" t="s">
        <v>478</v>
      </c>
      <c r="S21" s="90" t="s">
        <v>477</v>
      </c>
      <c r="T21" s="79"/>
      <c r="U21" s="79"/>
      <c r="V21" s="79"/>
      <c r="W21" s="79"/>
      <c r="X21" s="79"/>
      <c r="Y21" s="79"/>
      <c r="Z21" s="91"/>
      <c r="AA21" s="91"/>
      <c r="AB21" s="91"/>
      <c r="AC21" s="79"/>
      <c r="AD21" s="79"/>
      <c r="AE21" s="79"/>
      <c r="AF21" s="92"/>
      <c r="AG21" s="92"/>
      <c r="AH21" s="79"/>
      <c r="AI21" s="79"/>
      <c r="AJ21" s="92"/>
      <c r="AK21" s="79"/>
      <c r="AL21" s="79"/>
      <c r="AM21" s="92"/>
      <c r="AN21" s="92" t="s">
        <v>483</v>
      </c>
      <c r="AO21" s="92" t="s">
        <v>482</v>
      </c>
      <c r="AP21" s="92"/>
      <c r="AQ21" s="92" t="s">
        <v>1503</v>
      </c>
      <c r="AR21" s="92" t="s">
        <v>1504</v>
      </c>
      <c r="AS21" s="92" t="s">
        <v>1505</v>
      </c>
      <c r="AT21" s="79"/>
      <c r="AU21" s="79"/>
      <c r="AV21" s="92" t="e">
        <f>VLOOKUP(I21, Kiegészítő_Mátrix!C:E, 3, FALSE)</f>
        <v>#N/A</v>
      </c>
    </row>
    <row r="22" spans="1:48" ht="30" customHeight="1" x14ac:dyDescent="0.3">
      <c r="A22" s="79"/>
      <c r="B22" s="79" t="s">
        <v>359</v>
      </c>
      <c r="C22" s="79" t="s">
        <v>0</v>
      </c>
      <c r="D22" s="80" t="s">
        <v>33</v>
      </c>
      <c r="E22" s="81" t="s">
        <v>363</v>
      </c>
      <c r="F22" s="82"/>
      <c r="G22" s="82"/>
      <c r="H22" s="83"/>
      <c r="I22" s="81" t="s">
        <v>52</v>
      </c>
      <c r="J22" s="79" t="s">
        <v>53</v>
      </c>
      <c r="K22" s="79" t="s">
        <v>475</v>
      </c>
      <c r="L22" s="84" t="s">
        <v>16</v>
      </c>
      <c r="M22" s="85"/>
      <c r="N22" s="86"/>
      <c r="O22" s="87">
        <v>41275</v>
      </c>
      <c r="P22" s="91"/>
      <c r="Q22" s="84" t="s">
        <v>6</v>
      </c>
      <c r="R22" s="89" t="s">
        <v>479</v>
      </c>
      <c r="S22" s="90" t="s">
        <v>477</v>
      </c>
      <c r="T22" s="79"/>
      <c r="U22" s="79"/>
      <c r="V22" s="79"/>
      <c r="W22" s="79"/>
      <c r="X22" s="79"/>
      <c r="Y22" s="79"/>
      <c r="Z22" s="91"/>
      <c r="AA22" s="91"/>
      <c r="AB22" s="91"/>
      <c r="AC22" s="79"/>
      <c r="AD22" s="79"/>
      <c r="AE22" s="79"/>
      <c r="AF22" s="92"/>
      <c r="AG22" s="92"/>
      <c r="AH22" s="79"/>
      <c r="AI22" s="79"/>
      <c r="AJ22" s="92"/>
      <c r="AK22" s="79"/>
      <c r="AL22" s="79"/>
      <c r="AM22" s="92"/>
      <c r="AN22" s="92" t="s">
        <v>483</v>
      </c>
      <c r="AO22" s="92" t="s">
        <v>482</v>
      </c>
      <c r="AP22" s="92" t="s">
        <v>38</v>
      </c>
      <c r="AQ22" s="92" t="s">
        <v>1506</v>
      </c>
      <c r="AR22" s="92" t="s">
        <v>1507</v>
      </c>
      <c r="AS22" s="92" t="s">
        <v>1508</v>
      </c>
      <c r="AT22" s="79"/>
      <c r="AU22" s="79"/>
      <c r="AV22" s="92" t="e">
        <f>VLOOKUP(I22, Kiegészítő_Mátrix!C:E, 3, FALSE)</f>
        <v>#N/A</v>
      </c>
    </row>
    <row r="23" spans="1:48" ht="30" customHeight="1" x14ac:dyDescent="0.3">
      <c r="A23" s="79"/>
      <c r="B23" s="79" t="s">
        <v>359</v>
      </c>
      <c r="C23" s="79" t="s">
        <v>0</v>
      </c>
      <c r="D23" s="80" t="s">
        <v>33</v>
      </c>
      <c r="E23" s="81" t="s">
        <v>363</v>
      </c>
      <c r="F23" s="82"/>
      <c r="G23" s="82"/>
      <c r="H23" s="83"/>
      <c r="I23" s="81" t="s">
        <v>54</v>
      </c>
      <c r="J23" s="79" t="s">
        <v>55</v>
      </c>
      <c r="K23" s="79" t="s">
        <v>475</v>
      </c>
      <c r="L23" s="84" t="s">
        <v>16</v>
      </c>
      <c r="M23" s="85"/>
      <c r="N23" s="86"/>
      <c r="O23" s="87">
        <v>41518</v>
      </c>
      <c r="P23" s="91"/>
      <c r="Q23" s="84" t="s">
        <v>6</v>
      </c>
      <c r="R23" s="89" t="s">
        <v>479</v>
      </c>
      <c r="S23" s="90" t="s">
        <v>477</v>
      </c>
      <c r="T23" s="79"/>
      <c r="U23" s="79"/>
      <c r="V23" s="79"/>
      <c r="W23" s="79"/>
      <c r="X23" s="79"/>
      <c r="Y23" s="79"/>
      <c r="Z23" s="91"/>
      <c r="AA23" s="91"/>
      <c r="AB23" s="91"/>
      <c r="AC23" s="79"/>
      <c r="AD23" s="79"/>
      <c r="AE23" s="79"/>
      <c r="AF23" s="92"/>
      <c r="AG23" s="92"/>
      <c r="AH23" s="79"/>
      <c r="AI23" s="79"/>
      <c r="AJ23" s="92"/>
      <c r="AK23" s="79"/>
      <c r="AL23" s="79"/>
      <c r="AM23" s="92"/>
      <c r="AN23" s="92" t="s">
        <v>483</v>
      </c>
      <c r="AO23" s="92" t="s">
        <v>482</v>
      </c>
      <c r="AP23" s="92" t="s">
        <v>56</v>
      </c>
      <c r="AQ23" s="92" t="s">
        <v>1509</v>
      </c>
      <c r="AR23" s="92" t="s">
        <v>1510</v>
      </c>
      <c r="AS23" s="92" t="s">
        <v>1511</v>
      </c>
      <c r="AT23" s="79"/>
      <c r="AU23" s="79"/>
      <c r="AV23" s="92" t="e">
        <f>VLOOKUP(I23, Kiegészítő_Mátrix!C:E, 3, FALSE)</f>
        <v>#N/A</v>
      </c>
    </row>
    <row r="24" spans="1:48" ht="30" customHeight="1" x14ac:dyDescent="0.3">
      <c r="A24" s="79"/>
      <c r="B24" s="79" t="s">
        <v>359</v>
      </c>
      <c r="C24" s="79" t="s">
        <v>0</v>
      </c>
      <c r="D24" s="80" t="s">
        <v>33</v>
      </c>
      <c r="E24" s="81" t="s">
        <v>363</v>
      </c>
      <c r="F24" s="82"/>
      <c r="G24" s="82"/>
      <c r="H24" s="83"/>
      <c r="I24" s="81" t="s">
        <v>57</v>
      </c>
      <c r="J24" s="79" t="s">
        <v>58</v>
      </c>
      <c r="K24" s="79" t="s">
        <v>475</v>
      </c>
      <c r="L24" s="84" t="s">
        <v>16</v>
      </c>
      <c r="M24" s="85"/>
      <c r="N24" s="86"/>
      <c r="O24" s="87">
        <v>43101</v>
      </c>
      <c r="P24" s="91"/>
      <c r="Q24" s="84" t="s">
        <v>6</v>
      </c>
      <c r="R24" s="89" t="s">
        <v>479</v>
      </c>
      <c r="S24" s="90" t="s">
        <v>477</v>
      </c>
      <c r="T24" s="79"/>
      <c r="U24" s="79"/>
      <c r="V24" s="79"/>
      <c r="W24" s="79"/>
      <c r="X24" s="79"/>
      <c r="Y24" s="79"/>
      <c r="Z24" s="91"/>
      <c r="AA24" s="91"/>
      <c r="AB24" s="91"/>
      <c r="AC24" s="79"/>
      <c r="AD24" s="79"/>
      <c r="AE24" s="79"/>
      <c r="AF24" s="92"/>
      <c r="AG24" s="92"/>
      <c r="AH24" s="79"/>
      <c r="AI24" s="79"/>
      <c r="AJ24" s="92"/>
      <c r="AK24" s="79"/>
      <c r="AL24" s="79"/>
      <c r="AM24" s="92"/>
      <c r="AN24" s="92" t="s">
        <v>483</v>
      </c>
      <c r="AO24" s="92" t="s">
        <v>482</v>
      </c>
      <c r="AP24" s="92"/>
      <c r="AQ24" s="92" t="s">
        <v>1512</v>
      </c>
      <c r="AR24" s="92" t="s">
        <v>1513</v>
      </c>
      <c r="AS24" s="92" t="s">
        <v>1514</v>
      </c>
      <c r="AT24" s="79"/>
      <c r="AU24" s="79"/>
      <c r="AV24" s="92" t="e">
        <f>VLOOKUP(I24, Kiegészítő_Mátrix!C:E, 3, FALSE)</f>
        <v>#N/A</v>
      </c>
    </row>
    <row r="25" spans="1:48" ht="30" customHeight="1" x14ac:dyDescent="0.3">
      <c r="A25" s="79"/>
      <c r="B25" s="79"/>
      <c r="C25" s="79"/>
      <c r="D25" s="80"/>
      <c r="E25" s="81"/>
      <c r="F25" s="80"/>
      <c r="G25" s="80"/>
      <c r="H25" s="81"/>
      <c r="I25" s="83"/>
      <c r="J25" s="79"/>
      <c r="K25" s="79"/>
      <c r="L25" s="84"/>
      <c r="M25" s="85"/>
      <c r="N25" s="86"/>
      <c r="O25" s="87"/>
      <c r="P25" s="91"/>
      <c r="Q25" s="84"/>
      <c r="R25" s="89"/>
      <c r="S25" s="90"/>
      <c r="T25" s="79"/>
      <c r="U25" s="79"/>
      <c r="V25" s="79"/>
      <c r="W25" s="79"/>
      <c r="X25" s="79"/>
      <c r="Y25" s="79"/>
      <c r="Z25" s="91"/>
      <c r="AA25" s="91"/>
      <c r="AB25" s="91"/>
      <c r="AC25" s="79"/>
      <c r="AD25" s="79"/>
      <c r="AE25" s="79"/>
      <c r="AF25" s="92"/>
      <c r="AG25" s="92"/>
      <c r="AH25" s="79"/>
      <c r="AI25" s="79"/>
      <c r="AJ25" s="92"/>
      <c r="AK25" s="79"/>
      <c r="AL25" s="79"/>
      <c r="AM25" s="92"/>
      <c r="AN25" s="92"/>
      <c r="AO25" s="92"/>
      <c r="AP25" s="92"/>
      <c r="AQ25" s="92"/>
      <c r="AR25" s="92"/>
      <c r="AS25" s="92"/>
      <c r="AT25" s="79"/>
      <c r="AU25" s="79"/>
      <c r="AV25" s="92" t="e">
        <f>VLOOKUP(I25, Kiegészítő_Mátrix!C:E, 3, FALSE)</f>
        <v>#N/A</v>
      </c>
    </row>
    <row r="26" spans="1:48" s="15" customFormat="1" ht="30" customHeight="1" x14ac:dyDescent="0.3">
      <c r="A26" s="92"/>
      <c r="B26" s="92" t="s">
        <v>364</v>
      </c>
      <c r="C26" s="113" t="s">
        <v>59</v>
      </c>
      <c r="D26" s="102"/>
      <c r="E26" s="104"/>
      <c r="F26" s="102"/>
      <c r="G26" s="102"/>
      <c r="H26" s="90"/>
      <c r="I26" s="90" t="s">
        <v>60</v>
      </c>
      <c r="J26" s="92" t="s">
        <v>61</v>
      </c>
      <c r="K26" s="92" t="s">
        <v>2158</v>
      </c>
      <c r="L26" s="105" t="s">
        <v>4</v>
      </c>
      <c r="M26" s="106">
        <v>80010</v>
      </c>
      <c r="N26" s="114">
        <v>40005</v>
      </c>
      <c r="O26" s="115">
        <v>44197</v>
      </c>
      <c r="P26" s="97" t="s">
        <v>18</v>
      </c>
      <c r="Q26" s="105" t="s">
        <v>5</v>
      </c>
      <c r="R26" s="89" t="s">
        <v>501</v>
      </c>
      <c r="S26" s="90" t="s">
        <v>519</v>
      </c>
      <c r="T26" s="92"/>
      <c r="U26" s="92"/>
      <c r="V26" s="92"/>
      <c r="W26" s="92" t="s">
        <v>504</v>
      </c>
      <c r="X26" s="92" t="s">
        <v>503</v>
      </c>
      <c r="Y26" s="92"/>
      <c r="Z26" s="97" t="s">
        <v>506</v>
      </c>
      <c r="AA26" s="97"/>
      <c r="AB26" s="97" t="s">
        <v>686</v>
      </c>
      <c r="AC26" s="92" t="s">
        <v>411</v>
      </c>
      <c r="AD26" s="92"/>
      <c r="AE26" s="92"/>
      <c r="AF26" s="92"/>
      <c r="AG26" s="92"/>
      <c r="AH26" s="92"/>
      <c r="AI26" s="92"/>
      <c r="AJ26" s="92" t="s">
        <v>679</v>
      </c>
      <c r="AK26" s="92"/>
      <c r="AL26" s="92" t="s">
        <v>507</v>
      </c>
      <c r="AM26" s="92" t="s">
        <v>409</v>
      </c>
      <c r="AN26" s="92" t="s">
        <v>8</v>
      </c>
      <c r="AO26" s="92" t="s">
        <v>509</v>
      </c>
      <c r="AP26" s="92" t="s">
        <v>512</v>
      </c>
      <c r="AQ26" s="92" t="s">
        <v>1515</v>
      </c>
      <c r="AR26" s="92" t="s">
        <v>1516</v>
      </c>
      <c r="AS26" s="92" t="s">
        <v>1517</v>
      </c>
      <c r="AT26" s="92"/>
      <c r="AU26" s="92"/>
      <c r="AV26" s="92" t="str">
        <f>VLOOKUP(I26, Kiegészítő_Mátrix!C:E, 3, FALSE)</f>
        <v>Prisma kiegészítők</v>
      </c>
    </row>
    <row r="27" spans="1:48" s="15" customFormat="1" ht="30" customHeight="1" x14ac:dyDescent="0.3">
      <c r="A27" s="92"/>
      <c r="B27" s="92" t="s">
        <v>364</v>
      </c>
      <c r="C27" s="92" t="s">
        <v>59</v>
      </c>
      <c r="D27" s="102"/>
      <c r="E27" s="90"/>
      <c r="F27" s="102"/>
      <c r="G27" s="102"/>
      <c r="H27" s="90"/>
      <c r="I27" s="90" t="s">
        <v>63</v>
      </c>
      <c r="J27" s="92" t="s">
        <v>64</v>
      </c>
      <c r="K27" s="92" t="s">
        <v>2158</v>
      </c>
      <c r="L27" s="105" t="s">
        <v>4</v>
      </c>
      <c r="M27" s="106">
        <v>80010</v>
      </c>
      <c r="N27" s="114">
        <v>40005</v>
      </c>
      <c r="O27" s="115">
        <v>42005</v>
      </c>
      <c r="P27" s="97" t="s">
        <v>18</v>
      </c>
      <c r="Q27" s="105" t="s">
        <v>5</v>
      </c>
      <c r="R27" s="89" t="s">
        <v>502</v>
      </c>
      <c r="S27" s="90" t="s">
        <v>520</v>
      </c>
      <c r="T27" s="92"/>
      <c r="U27" s="92"/>
      <c r="V27" s="92"/>
      <c r="W27" s="92" t="s">
        <v>504</v>
      </c>
      <c r="X27" s="92" t="s">
        <v>503</v>
      </c>
      <c r="Y27" s="92"/>
      <c r="Z27" s="97" t="s">
        <v>506</v>
      </c>
      <c r="AA27" s="97"/>
      <c r="AB27" s="97" t="s">
        <v>686</v>
      </c>
      <c r="AC27" s="92" t="s">
        <v>402</v>
      </c>
      <c r="AD27" s="92"/>
      <c r="AE27" s="92"/>
      <c r="AF27" s="92"/>
      <c r="AG27" s="92"/>
      <c r="AH27" s="92"/>
      <c r="AI27" s="92"/>
      <c r="AJ27" s="92" t="s">
        <v>679</v>
      </c>
      <c r="AK27" s="92"/>
      <c r="AL27" s="92" t="s">
        <v>408</v>
      </c>
      <c r="AM27" s="92" t="s">
        <v>409</v>
      </c>
      <c r="AN27" s="92" t="s">
        <v>510</v>
      </c>
      <c r="AO27" s="92" t="s">
        <v>511</v>
      </c>
      <c r="AP27" s="92" t="s">
        <v>512</v>
      </c>
      <c r="AQ27" s="92" t="s">
        <v>1518</v>
      </c>
      <c r="AR27" s="92" t="s">
        <v>1519</v>
      </c>
      <c r="AS27" s="92" t="s">
        <v>1520</v>
      </c>
      <c r="AT27" s="92"/>
      <c r="AU27" s="92"/>
      <c r="AV27" s="92" t="str">
        <f>VLOOKUP(I27, Kiegészítő_Mátrix!C:E, 3, FALSE)</f>
        <v>Prisma kiegészítők</v>
      </c>
    </row>
    <row r="28" spans="1:48" s="15" customFormat="1" ht="30" customHeight="1" x14ac:dyDescent="0.3">
      <c r="A28" s="92"/>
      <c r="B28" s="92" t="s">
        <v>364</v>
      </c>
      <c r="C28" s="92" t="s">
        <v>59</v>
      </c>
      <c r="D28" s="102"/>
      <c r="E28" s="90"/>
      <c r="F28" s="102"/>
      <c r="G28" s="102"/>
      <c r="H28" s="90"/>
      <c r="I28" s="90" t="s">
        <v>66</v>
      </c>
      <c r="J28" s="92" t="s">
        <v>67</v>
      </c>
      <c r="K28" s="92" t="s">
        <v>2158</v>
      </c>
      <c r="L28" s="105" t="s">
        <v>4</v>
      </c>
      <c r="M28" s="106">
        <v>80010</v>
      </c>
      <c r="N28" s="114">
        <v>40005</v>
      </c>
      <c r="O28" s="115">
        <v>42036</v>
      </c>
      <c r="P28" s="97" t="s">
        <v>18</v>
      </c>
      <c r="Q28" s="105" t="s">
        <v>5</v>
      </c>
      <c r="R28" s="92" t="s">
        <v>526</v>
      </c>
      <c r="S28" s="90" t="s">
        <v>513</v>
      </c>
      <c r="T28" s="92"/>
      <c r="U28" s="92"/>
      <c r="V28" s="92"/>
      <c r="W28" s="92" t="s">
        <v>504</v>
      </c>
      <c r="X28" s="92" t="s">
        <v>514</v>
      </c>
      <c r="Y28" s="92"/>
      <c r="Z28" s="97" t="s">
        <v>515</v>
      </c>
      <c r="AA28" s="97"/>
      <c r="AB28" s="97" t="s">
        <v>686</v>
      </c>
      <c r="AC28" s="92" t="s">
        <v>516</v>
      </c>
      <c r="AD28" s="92"/>
      <c r="AE28" s="92"/>
      <c r="AF28" s="92"/>
      <c r="AG28" s="92"/>
      <c r="AH28" s="92"/>
      <c r="AI28" s="92"/>
      <c r="AJ28" s="92" t="s">
        <v>679</v>
      </c>
      <c r="AK28" s="92"/>
      <c r="AL28" s="92" t="s">
        <v>408</v>
      </c>
      <c r="AM28" s="92" t="s">
        <v>409</v>
      </c>
      <c r="AN28" s="92" t="s">
        <v>34</v>
      </c>
      <c r="AO28" s="92" t="s">
        <v>517</v>
      </c>
      <c r="AP28" s="94" t="s">
        <v>68</v>
      </c>
      <c r="AQ28" s="92" t="s">
        <v>1521</v>
      </c>
      <c r="AR28" s="92" t="s">
        <v>1522</v>
      </c>
      <c r="AS28" s="92" t="s">
        <v>1523</v>
      </c>
      <c r="AT28" s="92"/>
      <c r="AU28" s="92"/>
      <c r="AV28" s="92" t="str">
        <f>VLOOKUP(I28, Kiegészítő_Mátrix!C:E, 3, FALSE)</f>
        <v>Somnobalance kiegészítők</v>
      </c>
    </row>
    <row r="29" spans="1:48" s="15" customFormat="1" ht="30" customHeight="1" x14ac:dyDescent="0.3">
      <c r="A29" s="92"/>
      <c r="B29" s="92" t="s">
        <v>364</v>
      </c>
      <c r="C29" s="92" t="s">
        <v>59</v>
      </c>
      <c r="D29" s="102"/>
      <c r="E29" s="90"/>
      <c r="F29" s="102"/>
      <c r="G29" s="102"/>
      <c r="H29" s="90"/>
      <c r="I29" s="90" t="s">
        <v>69</v>
      </c>
      <c r="J29" s="92" t="s">
        <v>70</v>
      </c>
      <c r="K29" s="92" t="s">
        <v>2158</v>
      </c>
      <c r="L29" s="105" t="s">
        <v>16</v>
      </c>
      <c r="M29" s="106">
        <v>80010</v>
      </c>
      <c r="N29" s="114">
        <v>40005</v>
      </c>
      <c r="O29" s="115">
        <v>42522</v>
      </c>
      <c r="P29" s="97" t="s">
        <v>18</v>
      </c>
      <c r="Q29" s="116" t="s">
        <v>30</v>
      </c>
      <c r="R29" s="89" t="s">
        <v>524</v>
      </c>
      <c r="S29" s="90" t="s">
        <v>523</v>
      </c>
      <c r="T29" s="92"/>
      <c r="U29" s="92"/>
      <c r="V29" s="92"/>
      <c r="W29" s="92"/>
      <c r="X29" s="92"/>
      <c r="Y29" s="92"/>
      <c r="Z29" s="97" t="s">
        <v>522</v>
      </c>
      <c r="AA29" s="97"/>
      <c r="AB29" s="97"/>
      <c r="AC29" s="92"/>
      <c r="AD29" s="92"/>
      <c r="AE29" s="92"/>
      <c r="AF29" s="92"/>
      <c r="AG29" s="92"/>
      <c r="AH29" s="92"/>
      <c r="AI29" s="92"/>
      <c r="AJ29" s="92"/>
      <c r="AK29" s="92"/>
      <c r="AL29" s="92"/>
      <c r="AM29" s="92"/>
      <c r="AN29" s="92" t="s">
        <v>65</v>
      </c>
      <c r="AO29" s="92"/>
      <c r="AP29" s="94" t="s">
        <v>7</v>
      </c>
      <c r="AQ29" s="92" t="s">
        <v>1524</v>
      </c>
      <c r="AR29" s="92" t="s">
        <v>1525</v>
      </c>
      <c r="AS29" s="92" t="s">
        <v>1526</v>
      </c>
      <c r="AT29" s="92"/>
      <c r="AU29" s="92"/>
      <c r="AV29" s="92" t="str">
        <f>VLOOKUP(I29, Kiegészítő_Mátrix!C:E, 3, FALSE)</f>
        <v>Dreamstation1 kiegészítők</v>
      </c>
    </row>
    <row r="30" spans="1:48" s="15" customFormat="1" ht="30" customHeight="1" x14ac:dyDescent="0.3">
      <c r="A30" s="92"/>
      <c r="B30" s="92" t="s">
        <v>364</v>
      </c>
      <c r="C30" s="92" t="s">
        <v>59</v>
      </c>
      <c r="D30" s="102"/>
      <c r="E30" s="90"/>
      <c r="F30" s="102"/>
      <c r="G30" s="102"/>
      <c r="H30" s="90"/>
      <c r="I30" s="90" t="s">
        <v>71</v>
      </c>
      <c r="J30" s="90" t="s">
        <v>72</v>
      </c>
      <c r="K30" s="90" t="s">
        <v>2158</v>
      </c>
      <c r="L30" s="105"/>
      <c r="M30" s="106">
        <v>61595</v>
      </c>
      <c r="N30" s="114" t="s">
        <v>12</v>
      </c>
      <c r="O30" s="115">
        <v>44927</v>
      </c>
      <c r="P30" s="97" t="s">
        <v>18</v>
      </c>
      <c r="Q30" s="105" t="s">
        <v>30</v>
      </c>
      <c r="R30" s="89" t="s">
        <v>525</v>
      </c>
      <c r="S30" s="90" t="s">
        <v>518</v>
      </c>
      <c r="T30" s="92"/>
      <c r="U30" s="92"/>
      <c r="V30" s="92"/>
      <c r="W30" s="92" t="s">
        <v>680</v>
      </c>
      <c r="X30" s="92" t="s">
        <v>682</v>
      </c>
      <c r="Y30" s="92"/>
      <c r="Z30" s="97" t="s">
        <v>677</v>
      </c>
      <c r="AA30" s="97" t="s">
        <v>683</v>
      </c>
      <c r="AB30" s="97" t="s">
        <v>685</v>
      </c>
      <c r="AC30" s="92" t="s">
        <v>516</v>
      </c>
      <c r="AD30" s="92"/>
      <c r="AE30" s="92"/>
      <c r="AF30" s="92"/>
      <c r="AG30" s="92"/>
      <c r="AH30" s="92"/>
      <c r="AI30" s="92"/>
      <c r="AJ30" s="92" t="s">
        <v>679</v>
      </c>
      <c r="AK30" s="92"/>
      <c r="AL30" s="92" t="s">
        <v>408</v>
      </c>
      <c r="AM30" s="92" t="s">
        <v>409</v>
      </c>
      <c r="AN30" s="92">
        <v>112000205</v>
      </c>
      <c r="AO30" s="92" t="s">
        <v>521</v>
      </c>
      <c r="AP30" s="92"/>
      <c r="AQ30" s="92" t="s">
        <v>1527</v>
      </c>
      <c r="AR30" s="92" t="s">
        <v>1528</v>
      </c>
      <c r="AS30" s="92" t="s">
        <v>1529</v>
      </c>
      <c r="AT30" s="92"/>
      <c r="AU30" s="92"/>
      <c r="AV30" s="92" t="str">
        <f>VLOOKUP(I30, Kiegészítő_Mátrix!C:E, 3, FALSE)</f>
        <v>Aeonmed kiegészítők</v>
      </c>
    </row>
    <row r="31" spans="1:48" ht="30" customHeight="1" x14ac:dyDescent="0.3">
      <c r="A31" s="79"/>
      <c r="B31" s="79"/>
      <c r="C31" s="79"/>
      <c r="D31" s="80"/>
      <c r="E31" s="81"/>
      <c r="F31" s="80"/>
      <c r="G31" s="80"/>
      <c r="H31" s="81"/>
      <c r="I31" s="81"/>
      <c r="J31" s="81"/>
      <c r="K31" s="81"/>
      <c r="L31" s="84"/>
      <c r="M31" s="85"/>
      <c r="N31" s="86"/>
      <c r="O31" s="87"/>
      <c r="P31" s="91"/>
      <c r="Q31" s="84"/>
      <c r="R31" s="89"/>
      <c r="S31" s="90"/>
      <c r="T31" s="79"/>
      <c r="U31" s="79"/>
      <c r="V31" s="79"/>
      <c r="W31" s="79"/>
      <c r="X31" s="79"/>
      <c r="Y31" s="79"/>
      <c r="Z31" s="91"/>
      <c r="AA31" s="91"/>
      <c r="AB31" s="91"/>
      <c r="AC31" s="79"/>
      <c r="AD31" s="79"/>
      <c r="AE31" s="79"/>
      <c r="AF31" s="92"/>
      <c r="AG31" s="92"/>
      <c r="AH31" s="79"/>
      <c r="AI31" s="79"/>
      <c r="AJ31" s="92"/>
      <c r="AK31" s="79"/>
      <c r="AL31" s="79"/>
      <c r="AM31" s="92"/>
      <c r="AN31" s="92"/>
      <c r="AO31" s="92"/>
      <c r="AP31" s="92"/>
      <c r="AQ31" s="92"/>
      <c r="AR31" s="92"/>
      <c r="AS31" s="92"/>
      <c r="AT31" s="79"/>
      <c r="AU31" s="79"/>
      <c r="AV31" s="92" t="e">
        <f>VLOOKUP(I31, Kiegészítő_Mátrix!C:E, 3, FALSE)</f>
        <v>#N/A</v>
      </c>
    </row>
    <row r="32" spans="1:48" ht="30" customHeight="1" x14ac:dyDescent="0.3">
      <c r="A32" s="79"/>
      <c r="B32" s="79" t="s">
        <v>365</v>
      </c>
      <c r="C32" s="79" t="s">
        <v>73</v>
      </c>
      <c r="D32" s="80" t="s">
        <v>74</v>
      </c>
      <c r="E32" s="81" t="s">
        <v>366</v>
      </c>
      <c r="F32" s="80"/>
      <c r="G32" s="80"/>
      <c r="H32" s="81" t="s">
        <v>536</v>
      </c>
      <c r="I32" s="80" t="s">
        <v>75</v>
      </c>
      <c r="J32" s="79" t="s">
        <v>76</v>
      </c>
      <c r="K32" s="79" t="s">
        <v>2158</v>
      </c>
      <c r="L32" s="84" t="s">
        <v>4</v>
      </c>
      <c r="M32" s="85">
        <v>37973</v>
      </c>
      <c r="N32" s="86">
        <v>7595</v>
      </c>
      <c r="O32" s="87">
        <v>44075</v>
      </c>
      <c r="P32" s="91" t="s">
        <v>531</v>
      </c>
      <c r="Q32" s="84" t="s">
        <v>5</v>
      </c>
      <c r="R32" s="89" t="s">
        <v>527</v>
      </c>
      <c r="S32" s="90" t="s">
        <v>750</v>
      </c>
      <c r="T32" s="79"/>
      <c r="U32" s="79" t="s">
        <v>546</v>
      </c>
      <c r="V32" s="79"/>
      <c r="W32" s="79" t="s">
        <v>541</v>
      </c>
      <c r="X32" s="79" t="s">
        <v>543</v>
      </c>
      <c r="Y32" s="79" t="s">
        <v>649</v>
      </c>
      <c r="Z32" s="91"/>
      <c r="AA32" s="91"/>
      <c r="AB32" s="91"/>
      <c r="AC32" s="79"/>
      <c r="AD32" s="79"/>
      <c r="AE32" s="79"/>
      <c r="AF32" s="92"/>
      <c r="AG32" s="92"/>
      <c r="AH32" s="79"/>
      <c r="AI32" s="79" t="s">
        <v>554</v>
      </c>
      <c r="AJ32" s="92" t="s">
        <v>540</v>
      </c>
      <c r="AK32" s="79" t="s">
        <v>408</v>
      </c>
      <c r="AL32" s="79" t="s">
        <v>405</v>
      </c>
      <c r="AM32" s="92" t="s">
        <v>409</v>
      </c>
      <c r="AN32" s="92" t="s">
        <v>539</v>
      </c>
      <c r="AO32" s="92" t="s">
        <v>550</v>
      </c>
      <c r="AP32" s="93" t="s">
        <v>62</v>
      </c>
      <c r="AQ32" s="92" t="s">
        <v>1530</v>
      </c>
      <c r="AR32" s="92" t="s">
        <v>1531</v>
      </c>
      <c r="AS32" s="92" t="s">
        <v>1532</v>
      </c>
      <c r="AT32" s="79"/>
      <c r="AU32" s="79"/>
      <c r="AV32" s="92" t="e">
        <f>VLOOKUP(I32, Kiegészítő_Mátrix!C:E, 3, FALSE)</f>
        <v>#N/A</v>
      </c>
    </row>
    <row r="33" spans="1:48" ht="30" customHeight="1" x14ac:dyDescent="0.3">
      <c r="A33" s="79"/>
      <c r="B33" s="79" t="s">
        <v>365</v>
      </c>
      <c r="C33" s="79" t="s">
        <v>73</v>
      </c>
      <c r="D33" s="80" t="s">
        <v>74</v>
      </c>
      <c r="E33" s="81" t="s">
        <v>366</v>
      </c>
      <c r="F33" s="80"/>
      <c r="G33" s="80"/>
      <c r="H33" s="81" t="s">
        <v>536</v>
      </c>
      <c r="I33" s="80" t="s">
        <v>77</v>
      </c>
      <c r="J33" s="79" t="s">
        <v>78</v>
      </c>
      <c r="K33" s="79" t="s">
        <v>2158</v>
      </c>
      <c r="L33" s="84" t="s">
        <v>4</v>
      </c>
      <c r="M33" s="85">
        <v>37973</v>
      </c>
      <c r="N33" s="86">
        <v>7595</v>
      </c>
      <c r="O33" s="87">
        <v>43160</v>
      </c>
      <c r="P33" s="91" t="s">
        <v>532</v>
      </c>
      <c r="Q33" s="84" t="s">
        <v>5</v>
      </c>
      <c r="R33" s="89" t="s">
        <v>527</v>
      </c>
      <c r="S33" s="90" t="s">
        <v>750</v>
      </c>
      <c r="T33" s="79"/>
      <c r="U33" s="79" t="s">
        <v>546</v>
      </c>
      <c r="V33" s="79"/>
      <c r="W33" s="79" t="s">
        <v>538</v>
      </c>
      <c r="X33" s="79" t="s">
        <v>544</v>
      </c>
      <c r="Y33" s="79" t="s">
        <v>650</v>
      </c>
      <c r="Z33" s="91"/>
      <c r="AA33" s="91"/>
      <c r="AB33" s="91"/>
      <c r="AC33" s="79"/>
      <c r="AD33" s="79"/>
      <c r="AE33" s="79"/>
      <c r="AF33" s="92"/>
      <c r="AG33" s="92"/>
      <c r="AH33" s="79"/>
      <c r="AI33" s="79" t="s">
        <v>554</v>
      </c>
      <c r="AJ33" s="92" t="s">
        <v>540</v>
      </c>
      <c r="AK33" s="79" t="s">
        <v>408</v>
      </c>
      <c r="AL33" s="79" t="s">
        <v>405</v>
      </c>
      <c r="AM33" s="92" t="s">
        <v>409</v>
      </c>
      <c r="AN33" s="92" t="s">
        <v>547</v>
      </c>
      <c r="AO33" s="92" t="s">
        <v>551</v>
      </c>
      <c r="AP33" s="93" t="s">
        <v>62</v>
      </c>
      <c r="AQ33" s="92" t="s">
        <v>1533</v>
      </c>
      <c r="AR33" s="92" t="s">
        <v>1534</v>
      </c>
      <c r="AS33" s="92" t="s">
        <v>1535</v>
      </c>
      <c r="AT33" s="79"/>
      <c r="AU33" s="79"/>
      <c r="AV33" s="92" t="e">
        <f>VLOOKUP(I33, Kiegészítő_Mátrix!C:E, 3, FALSE)</f>
        <v>#N/A</v>
      </c>
    </row>
    <row r="34" spans="1:48" ht="30" customHeight="1" x14ac:dyDescent="0.3">
      <c r="A34" s="79"/>
      <c r="B34" s="79" t="s">
        <v>365</v>
      </c>
      <c r="C34" s="79" t="s">
        <v>73</v>
      </c>
      <c r="D34" s="80" t="s">
        <v>74</v>
      </c>
      <c r="E34" s="81" t="s">
        <v>366</v>
      </c>
      <c r="F34" s="80"/>
      <c r="G34" s="80"/>
      <c r="H34" s="81" t="s">
        <v>536</v>
      </c>
      <c r="I34" s="80" t="s">
        <v>79</v>
      </c>
      <c r="J34" s="79" t="s">
        <v>80</v>
      </c>
      <c r="K34" s="79" t="s">
        <v>2158</v>
      </c>
      <c r="L34" s="84" t="s">
        <v>4</v>
      </c>
      <c r="M34" s="85">
        <v>37973</v>
      </c>
      <c r="N34" s="86">
        <v>7595</v>
      </c>
      <c r="O34" s="87">
        <v>43160</v>
      </c>
      <c r="P34" s="91" t="s">
        <v>533</v>
      </c>
      <c r="Q34" s="84" t="s">
        <v>5</v>
      </c>
      <c r="R34" s="89" t="s">
        <v>527</v>
      </c>
      <c r="S34" s="90" t="s">
        <v>750</v>
      </c>
      <c r="T34" s="79"/>
      <c r="U34" s="79" t="s">
        <v>546</v>
      </c>
      <c r="V34" s="79"/>
      <c r="W34" s="79" t="s">
        <v>542</v>
      </c>
      <c r="X34" s="79" t="s">
        <v>545</v>
      </c>
      <c r="Y34" s="79" t="s">
        <v>651</v>
      </c>
      <c r="Z34" s="91"/>
      <c r="AA34" s="91"/>
      <c r="AB34" s="91"/>
      <c r="AC34" s="79"/>
      <c r="AD34" s="79"/>
      <c r="AE34" s="79"/>
      <c r="AF34" s="92"/>
      <c r="AG34" s="92"/>
      <c r="AH34" s="79"/>
      <c r="AI34" s="79" t="s">
        <v>554</v>
      </c>
      <c r="AJ34" s="92" t="s">
        <v>540</v>
      </c>
      <c r="AK34" s="79" t="s">
        <v>408</v>
      </c>
      <c r="AL34" s="79" t="s">
        <v>405</v>
      </c>
      <c r="AM34" s="92" t="s">
        <v>409</v>
      </c>
      <c r="AN34" s="92" t="s">
        <v>548</v>
      </c>
      <c r="AO34" s="92" t="s">
        <v>552</v>
      </c>
      <c r="AP34" s="93" t="s">
        <v>62</v>
      </c>
      <c r="AQ34" s="92" t="s">
        <v>1536</v>
      </c>
      <c r="AR34" s="92" t="s">
        <v>1537</v>
      </c>
      <c r="AS34" s="92" t="s">
        <v>1538</v>
      </c>
      <c r="AT34" s="79"/>
      <c r="AU34" s="79"/>
      <c r="AV34" s="92" t="e">
        <f>VLOOKUP(I34, Kiegészítő_Mátrix!C:E, 3, FALSE)</f>
        <v>#N/A</v>
      </c>
    </row>
    <row r="35" spans="1:48" ht="30" customHeight="1" x14ac:dyDescent="0.3">
      <c r="A35" s="79"/>
      <c r="B35" s="79" t="s">
        <v>365</v>
      </c>
      <c r="C35" s="79" t="s">
        <v>73</v>
      </c>
      <c r="D35" s="80" t="s">
        <v>74</v>
      </c>
      <c r="E35" s="81" t="s">
        <v>366</v>
      </c>
      <c r="F35" s="80"/>
      <c r="G35" s="80"/>
      <c r="H35" s="81" t="s">
        <v>536</v>
      </c>
      <c r="I35" s="80" t="s">
        <v>1271</v>
      </c>
      <c r="J35" s="79" t="s">
        <v>82</v>
      </c>
      <c r="K35" s="100" t="s">
        <v>2158</v>
      </c>
      <c r="L35" s="84" t="s">
        <v>4</v>
      </c>
      <c r="M35" s="85">
        <v>37973</v>
      </c>
      <c r="N35" s="86">
        <v>7595</v>
      </c>
      <c r="O35" s="87"/>
      <c r="P35" s="91" t="s">
        <v>534</v>
      </c>
      <c r="Q35" s="84"/>
      <c r="R35" s="89" t="s">
        <v>527</v>
      </c>
      <c r="S35" s="90" t="s">
        <v>750</v>
      </c>
      <c r="T35" s="79"/>
      <c r="U35" s="79" t="s">
        <v>546</v>
      </c>
      <c r="V35" s="79"/>
      <c r="W35" s="79" t="s">
        <v>654</v>
      </c>
      <c r="X35" s="79" t="s">
        <v>652</v>
      </c>
      <c r="Y35" s="79" t="s">
        <v>653</v>
      </c>
      <c r="Z35" s="91"/>
      <c r="AA35" s="91"/>
      <c r="AB35" s="91"/>
      <c r="AC35" s="79"/>
      <c r="AD35" s="79"/>
      <c r="AE35" s="79"/>
      <c r="AF35" s="92"/>
      <c r="AG35" s="92"/>
      <c r="AH35" s="79"/>
      <c r="AI35" s="79" t="s">
        <v>554</v>
      </c>
      <c r="AJ35" s="92" t="s">
        <v>540</v>
      </c>
      <c r="AK35" s="79" t="s">
        <v>408</v>
      </c>
      <c r="AL35" s="79" t="s">
        <v>405</v>
      </c>
      <c r="AM35" s="92" t="s">
        <v>409</v>
      </c>
      <c r="AN35" s="92" t="s">
        <v>549</v>
      </c>
      <c r="AO35" s="92" t="s">
        <v>553</v>
      </c>
      <c r="AP35" s="93" t="s">
        <v>62</v>
      </c>
      <c r="AQ35" s="92" t="s">
        <v>1539</v>
      </c>
      <c r="AR35" s="92" t="s">
        <v>1540</v>
      </c>
      <c r="AS35" s="92" t="s">
        <v>1541</v>
      </c>
      <c r="AT35" s="79"/>
      <c r="AU35" s="79"/>
      <c r="AV35" s="92" t="e">
        <f>VLOOKUP(I35, Kiegészítő_Mátrix!C:E, 3, FALSE)</f>
        <v>#N/A</v>
      </c>
    </row>
    <row r="36" spans="1:48" ht="30" customHeight="1" x14ac:dyDescent="0.3">
      <c r="A36" s="79"/>
      <c r="B36" s="79" t="s">
        <v>365</v>
      </c>
      <c r="C36" s="79" t="s">
        <v>73</v>
      </c>
      <c r="D36" s="80" t="s">
        <v>74</v>
      </c>
      <c r="E36" s="81" t="s">
        <v>366</v>
      </c>
      <c r="F36" s="80"/>
      <c r="G36" s="80"/>
      <c r="H36" s="81" t="s">
        <v>537</v>
      </c>
      <c r="I36" s="80" t="s">
        <v>83</v>
      </c>
      <c r="J36" s="79" t="s">
        <v>84</v>
      </c>
      <c r="K36" s="79" t="s">
        <v>2158</v>
      </c>
      <c r="L36" s="84" t="s">
        <v>4</v>
      </c>
      <c r="M36" s="85">
        <v>39370</v>
      </c>
      <c r="N36" s="86">
        <v>8992</v>
      </c>
      <c r="O36" s="87">
        <v>41640</v>
      </c>
      <c r="P36" s="91" t="s">
        <v>597</v>
      </c>
      <c r="Q36" s="84" t="s">
        <v>5</v>
      </c>
      <c r="R36" s="89" t="s">
        <v>529</v>
      </c>
      <c r="S36" s="90" t="s">
        <v>907</v>
      </c>
      <c r="T36" s="79"/>
      <c r="U36" s="79" t="s">
        <v>546</v>
      </c>
      <c r="V36" s="79"/>
      <c r="W36" s="79" t="s">
        <v>633</v>
      </c>
      <c r="X36" s="79" t="s">
        <v>628</v>
      </c>
      <c r="Y36" s="79" t="s">
        <v>625</v>
      </c>
      <c r="Z36" s="91"/>
      <c r="AA36" s="91"/>
      <c r="AB36" s="91"/>
      <c r="AC36" s="79"/>
      <c r="AD36" s="79"/>
      <c r="AE36" s="79"/>
      <c r="AF36" s="92"/>
      <c r="AG36" s="92"/>
      <c r="AH36" s="79"/>
      <c r="AI36" s="79" t="s">
        <v>554</v>
      </c>
      <c r="AJ36" s="92" t="s">
        <v>540</v>
      </c>
      <c r="AK36" s="79" t="s">
        <v>408</v>
      </c>
      <c r="AL36" s="79" t="s">
        <v>408</v>
      </c>
      <c r="AM36" s="92" t="s">
        <v>409</v>
      </c>
      <c r="AN36" s="92" t="s">
        <v>560</v>
      </c>
      <c r="AO36" s="92" t="s">
        <v>561</v>
      </c>
      <c r="AP36" s="93" t="s">
        <v>62</v>
      </c>
      <c r="AQ36" s="92" t="s">
        <v>1542</v>
      </c>
      <c r="AR36" s="92" t="s">
        <v>1543</v>
      </c>
      <c r="AS36" s="92" t="s">
        <v>1544</v>
      </c>
      <c r="AT36" s="79"/>
      <c r="AU36" s="79"/>
      <c r="AV36" s="92" t="e">
        <f>VLOOKUP(I36, Kiegészítő_Mátrix!C:E, 3, FALSE)</f>
        <v>#N/A</v>
      </c>
    </row>
    <row r="37" spans="1:48" ht="30" customHeight="1" x14ac:dyDescent="0.3">
      <c r="A37" s="79"/>
      <c r="B37" s="79" t="s">
        <v>365</v>
      </c>
      <c r="C37" s="79" t="s">
        <v>73</v>
      </c>
      <c r="D37" s="80" t="s">
        <v>74</v>
      </c>
      <c r="E37" s="81" t="s">
        <v>366</v>
      </c>
      <c r="F37" s="80"/>
      <c r="G37" s="80"/>
      <c r="H37" s="81" t="s">
        <v>537</v>
      </c>
      <c r="I37" s="80" t="s">
        <v>85</v>
      </c>
      <c r="J37" s="79" t="s">
        <v>86</v>
      </c>
      <c r="K37" s="79" t="s">
        <v>2158</v>
      </c>
      <c r="L37" s="84" t="s">
        <v>4</v>
      </c>
      <c r="M37" s="85">
        <v>39370</v>
      </c>
      <c r="N37" s="86">
        <v>8992</v>
      </c>
      <c r="O37" s="87">
        <v>41640</v>
      </c>
      <c r="P37" s="91" t="s">
        <v>598</v>
      </c>
      <c r="Q37" s="84" t="s">
        <v>5</v>
      </c>
      <c r="R37" s="89" t="s">
        <v>529</v>
      </c>
      <c r="S37" s="90" t="s">
        <v>907</v>
      </c>
      <c r="T37" s="79"/>
      <c r="U37" s="79" t="s">
        <v>546</v>
      </c>
      <c r="V37" s="79"/>
      <c r="W37" s="79" t="s">
        <v>630</v>
      </c>
      <c r="X37" s="79" t="s">
        <v>629</v>
      </c>
      <c r="Y37" s="79" t="s">
        <v>626</v>
      </c>
      <c r="Z37" s="91"/>
      <c r="AA37" s="91"/>
      <c r="AB37" s="91"/>
      <c r="AC37" s="79"/>
      <c r="AD37" s="79"/>
      <c r="AE37" s="79"/>
      <c r="AF37" s="92"/>
      <c r="AG37" s="92"/>
      <c r="AH37" s="79"/>
      <c r="AI37" s="79" t="s">
        <v>554</v>
      </c>
      <c r="AJ37" s="92" t="s">
        <v>540</v>
      </c>
      <c r="AK37" s="79" t="s">
        <v>408</v>
      </c>
      <c r="AL37" s="79" t="s">
        <v>408</v>
      </c>
      <c r="AM37" s="92" t="s">
        <v>409</v>
      </c>
      <c r="AN37" s="92" t="s">
        <v>560</v>
      </c>
      <c r="AO37" s="92" t="s">
        <v>562</v>
      </c>
      <c r="AP37" s="93" t="s">
        <v>62</v>
      </c>
      <c r="AQ37" s="92" t="s">
        <v>1545</v>
      </c>
      <c r="AR37" s="92" t="s">
        <v>1546</v>
      </c>
      <c r="AS37" s="92" t="s">
        <v>1547</v>
      </c>
      <c r="AT37" s="79"/>
      <c r="AU37" s="79"/>
      <c r="AV37" s="92" t="e">
        <f>VLOOKUP(I37, Kiegészítő_Mátrix!C:E, 3, FALSE)</f>
        <v>#N/A</v>
      </c>
    </row>
    <row r="38" spans="1:48" ht="30" customHeight="1" x14ac:dyDescent="0.3">
      <c r="A38" s="79"/>
      <c r="B38" s="79" t="s">
        <v>365</v>
      </c>
      <c r="C38" s="79" t="s">
        <v>73</v>
      </c>
      <c r="D38" s="80" t="s">
        <v>74</v>
      </c>
      <c r="E38" s="81" t="s">
        <v>366</v>
      </c>
      <c r="F38" s="80"/>
      <c r="G38" s="80"/>
      <c r="H38" s="81" t="s">
        <v>537</v>
      </c>
      <c r="I38" s="80" t="s">
        <v>87</v>
      </c>
      <c r="J38" s="79" t="s">
        <v>88</v>
      </c>
      <c r="K38" s="79" t="s">
        <v>2158</v>
      </c>
      <c r="L38" s="84" t="s">
        <v>4</v>
      </c>
      <c r="M38" s="85">
        <v>39370</v>
      </c>
      <c r="N38" s="86">
        <v>8992</v>
      </c>
      <c r="O38" s="87">
        <v>41640</v>
      </c>
      <c r="P38" s="91" t="s">
        <v>599</v>
      </c>
      <c r="Q38" s="84" t="s">
        <v>5</v>
      </c>
      <c r="R38" s="89" t="s">
        <v>529</v>
      </c>
      <c r="S38" s="90" t="s">
        <v>907</v>
      </c>
      <c r="T38" s="79"/>
      <c r="U38" s="79" t="s">
        <v>546</v>
      </c>
      <c r="V38" s="79"/>
      <c r="W38" s="79" t="s">
        <v>632</v>
      </c>
      <c r="X38" s="79" t="s">
        <v>631</v>
      </c>
      <c r="Y38" s="79" t="s">
        <v>627</v>
      </c>
      <c r="Z38" s="91"/>
      <c r="AA38" s="91"/>
      <c r="AB38" s="91"/>
      <c r="AC38" s="79"/>
      <c r="AD38" s="79"/>
      <c r="AE38" s="79"/>
      <c r="AF38" s="92"/>
      <c r="AG38" s="92"/>
      <c r="AH38" s="79"/>
      <c r="AI38" s="79" t="s">
        <v>554</v>
      </c>
      <c r="AJ38" s="92" t="s">
        <v>540</v>
      </c>
      <c r="AK38" s="79" t="s">
        <v>408</v>
      </c>
      <c r="AL38" s="79" t="s">
        <v>408</v>
      </c>
      <c r="AM38" s="92" t="s">
        <v>409</v>
      </c>
      <c r="AN38" s="92" t="s">
        <v>560</v>
      </c>
      <c r="AO38" s="92" t="s">
        <v>563</v>
      </c>
      <c r="AP38" s="93" t="s">
        <v>62</v>
      </c>
      <c r="AQ38" s="92" t="s">
        <v>1548</v>
      </c>
      <c r="AR38" s="92" t="s">
        <v>1549</v>
      </c>
      <c r="AS38" s="92" t="s">
        <v>1550</v>
      </c>
      <c r="AT38" s="79"/>
      <c r="AU38" s="79"/>
      <c r="AV38" s="92" t="e">
        <f>VLOOKUP(I38, Kiegészítő_Mátrix!C:E, 3, FALSE)</f>
        <v>#N/A</v>
      </c>
    </row>
    <row r="39" spans="1:48" ht="30" customHeight="1" x14ac:dyDescent="0.3">
      <c r="A39" s="79"/>
      <c r="B39" s="79" t="s">
        <v>365</v>
      </c>
      <c r="C39" s="79" t="s">
        <v>73</v>
      </c>
      <c r="D39" s="80" t="s">
        <v>74</v>
      </c>
      <c r="E39" s="81" t="s">
        <v>366</v>
      </c>
      <c r="F39" s="80"/>
      <c r="G39" s="80"/>
      <c r="H39" s="81" t="s">
        <v>564</v>
      </c>
      <c r="I39" s="80" t="s">
        <v>89</v>
      </c>
      <c r="J39" s="79" t="s">
        <v>90</v>
      </c>
      <c r="K39" s="79" t="s">
        <v>2158</v>
      </c>
      <c r="L39" s="84" t="s">
        <v>4</v>
      </c>
      <c r="M39" s="85">
        <v>37973</v>
      </c>
      <c r="N39" s="86">
        <v>7595</v>
      </c>
      <c r="O39" s="87">
        <v>41640</v>
      </c>
      <c r="P39" s="91" t="s">
        <v>18</v>
      </c>
      <c r="Q39" s="84" t="s">
        <v>5</v>
      </c>
      <c r="R39" s="89" t="s">
        <v>528</v>
      </c>
      <c r="S39" s="90" t="s">
        <v>749</v>
      </c>
      <c r="T39" s="79"/>
      <c r="U39" s="79" t="s">
        <v>546</v>
      </c>
      <c r="V39" s="79"/>
      <c r="W39" s="79" t="s">
        <v>556</v>
      </c>
      <c r="X39" s="79" t="s">
        <v>644</v>
      </c>
      <c r="Y39" s="79" t="s">
        <v>645</v>
      </c>
      <c r="Z39" s="91"/>
      <c r="AA39" s="91"/>
      <c r="AB39" s="91"/>
      <c r="AC39" s="79"/>
      <c r="AD39" s="79"/>
      <c r="AE39" s="79"/>
      <c r="AF39" s="92"/>
      <c r="AG39" s="92"/>
      <c r="AH39" s="79"/>
      <c r="AI39" s="79" t="s">
        <v>555</v>
      </c>
      <c r="AJ39" s="92" t="s">
        <v>557</v>
      </c>
      <c r="AK39" s="79" t="s">
        <v>408</v>
      </c>
      <c r="AL39" s="79" t="s">
        <v>405</v>
      </c>
      <c r="AM39" s="92" t="s">
        <v>409</v>
      </c>
      <c r="AN39" s="92" t="s">
        <v>558</v>
      </c>
      <c r="AO39" s="92" t="s">
        <v>559</v>
      </c>
      <c r="AP39" s="93" t="s">
        <v>62</v>
      </c>
      <c r="AQ39" s="92" t="s">
        <v>1551</v>
      </c>
      <c r="AR39" s="92" t="s">
        <v>1552</v>
      </c>
      <c r="AS39" s="92" t="s">
        <v>1553</v>
      </c>
      <c r="AT39" s="79"/>
      <c r="AU39" s="79"/>
      <c r="AV39" s="92" t="e">
        <f>VLOOKUP(I39, Kiegészítő_Mátrix!C:E, 3, FALSE)</f>
        <v>#N/A</v>
      </c>
    </row>
    <row r="40" spans="1:48" ht="30" customHeight="1" x14ac:dyDescent="0.3">
      <c r="A40" s="79"/>
      <c r="B40" s="79" t="s">
        <v>365</v>
      </c>
      <c r="C40" s="79" t="s">
        <v>73</v>
      </c>
      <c r="D40" s="80" t="s">
        <v>74</v>
      </c>
      <c r="E40" s="81" t="s">
        <v>366</v>
      </c>
      <c r="F40" s="80"/>
      <c r="G40" s="80"/>
      <c r="H40" s="81" t="s">
        <v>2124</v>
      </c>
      <c r="I40" s="117" t="s">
        <v>111</v>
      </c>
      <c r="J40" s="118" t="s">
        <v>112</v>
      </c>
      <c r="K40" s="118" t="s">
        <v>2158</v>
      </c>
      <c r="L40" s="119" t="s">
        <v>4</v>
      </c>
      <c r="M40" s="120">
        <v>42545</v>
      </c>
      <c r="N40" s="86">
        <v>12167</v>
      </c>
      <c r="O40" s="87"/>
      <c r="P40" s="91" t="s">
        <v>597</v>
      </c>
      <c r="Q40" s="84"/>
      <c r="R40" s="89" t="s">
        <v>615</v>
      </c>
      <c r="S40" s="90" t="s">
        <v>746</v>
      </c>
      <c r="T40" s="79"/>
      <c r="U40" s="79" t="s">
        <v>604</v>
      </c>
      <c r="V40" s="79"/>
      <c r="W40" s="79" t="s">
        <v>616</v>
      </c>
      <c r="X40" s="79" t="s">
        <v>618</v>
      </c>
      <c r="Y40" s="79" t="s">
        <v>622</v>
      </c>
      <c r="Z40" s="91"/>
      <c r="AA40" s="91"/>
      <c r="AB40" s="91"/>
      <c r="AC40" s="79"/>
      <c r="AD40" s="79"/>
      <c r="AE40" s="79"/>
      <c r="AF40" s="92"/>
      <c r="AG40" s="92"/>
      <c r="AH40" s="79"/>
      <c r="AI40" s="79" t="s">
        <v>554</v>
      </c>
      <c r="AJ40" s="92" t="s">
        <v>617</v>
      </c>
      <c r="AK40" s="79" t="s">
        <v>408</v>
      </c>
      <c r="AL40" s="79" t="s">
        <v>408</v>
      </c>
      <c r="AM40" s="92" t="s">
        <v>409</v>
      </c>
      <c r="AN40" s="92"/>
      <c r="AO40" s="92"/>
      <c r="AP40" s="121" t="s">
        <v>113</v>
      </c>
      <c r="AQ40" s="92" t="s">
        <v>1554</v>
      </c>
      <c r="AR40" s="92" t="s">
        <v>1555</v>
      </c>
      <c r="AS40" s="92" t="s">
        <v>1556</v>
      </c>
      <c r="AT40" s="79"/>
      <c r="AU40" s="79"/>
      <c r="AV40" s="92" t="e">
        <f>VLOOKUP(I40, Kiegészítő_Mátrix!C:E, 3, FALSE)</f>
        <v>#N/A</v>
      </c>
    </row>
    <row r="41" spans="1:48" ht="30" customHeight="1" x14ac:dyDescent="0.3">
      <c r="A41" s="79"/>
      <c r="B41" s="79" t="s">
        <v>365</v>
      </c>
      <c r="C41" s="79" t="s">
        <v>73</v>
      </c>
      <c r="D41" s="80" t="s">
        <v>74</v>
      </c>
      <c r="E41" s="81" t="s">
        <v>366</v>
      </c>
      <c r="F41" s="80"/>
      <c r="G41" s="80"/>
      <c r="H41" s="81" t="s">
        <v>2124</v>
      </c>
      <c r="I41" s="117" t="s">
        <v>114</v>
      </c>
      <c r="J41" s="118" t="s">
        <v>115</v>
      </c>
      <c r="K41" s="118" t="s">
        <v>2158</v>
      </c>
      <c r="L41" s="119" t="s">
        <v>4</v>
      </c>
      <c r="M41" s="120">
        <v>42545</v>
      </c>
      <c r="N41" s="86">
        <v>12167</v>
      </c>
      <c r="O41" s="87"/>
      <c r="P41" s="91" t="s">
        <v>598</v>
      </c>
      <c r="Q41" s="84"/>
      <c r="R41" s="89" t="s">
        <v>615</v>
      </c>
      <c r="S41" s="90" t="s">
        <v>746</v>
      </c>
      <c r="T41" s="79"/>
      <c r="U41" s="79" t="s">
        <v>604</v>
      </c>
      <c r="V41" s="79"/>
      <c r="W41" s="79" t="s">
        <v>616</v>
      </c>
      <c r="X41" s="79" t="s">
        <v>619</v>
      </c>
      <c r="Y41" s="79" t="s">
        <v>623</v>
      </c>
      <c r="Z41" s="91"/>
      <c r="AA41" s="91"/>
      <c r="AB41" s="91"/>
      <c r="AC41" s="79"/>
      <c r="AD41" s="79"/>
      <c r="AE41" s="79"/>
      <c r="AF41" s="92"/>
      <c r="AG41" s="92"/>
      <c r="AH41" s="79"/>
      <c r="AI41" s="79" t="s">
        <v>554</v>
      </c>
      <c r="AJ41" s="92" t="s">
        <v>617</v>
      </c>
      <c r="AK41" s="79" t="s">
        <v>408</v>
      </c>
      <c r="AL41" s="79" t="s">
        <v>408</v>
      </c>
      <c r="AM41" s="92" t="s">
        <v>409</v>
      </c>
      <c r="AN41" s="92"/>
      <c r="AO41" s="92"/>
      <c r="AP41" s="121" t="s">
        <v>113</v>
      </c>
      <c r="AQ41" s="92" t="s">
        <v>1557</v>
      </c>
      <c r="AR41" s="92" t="s">
        <v>1558</v>
      </c>
      <c r="AS41" s="92" t="s">
        <v>1559</v>
      </c>
      <c r="AT41" s="79"/>
      <c r="AU41" s="79"/>
      <c r="AV41" s="92" t="e">
        <f>VLOOKUP(I41, Kiegészítő_Mátrix!C:E, 3, FALSE)</f>
        <v>#N/A</v>
      </c>
    </row>
    <row r="42" spans="1:48" ht="30" customHeight="1" x14ac:dyDescent="0.3">
      <c r="A42" s="79"/>
      <c r="B42" s="79" t="s">
        <v>365</v>
      </c>
      <c r="C42" s="79" t="s">
        <v>73</v>
      </c>
      <c r="D42" s="80" t="s">
        <v>74</v>
      </c>
      <c r="E42" s="81" t="s">
        <v>366</v>
      </c>
      <c r="F42" s="80"/>
      <c r="G42" s="80"/>
      <c r="H42" s="81" t="s">
        <v>2124</v>
      </c>
      <c r="I42" s="117" t="s">
        <v>116</v>
      </c>
      <c r="J42" s="118" t="s">
        <v>117</v>
      </c>
      <c r="K42" s="118" t="s">
        <v>2158</v>
      </c>
      <c r="L42" s="119" t="s">
        <v>4</v>
      </c>
      <c r="M42" s="120">
        <v>42545</v>
      </c>
      <c r="N42" s="86">
        <v>12167</v>
      </c>
      <c r="O42" s="87"/>
      <c r="P42" s="91" t="s">
        <v>599</v>
      </c>
      <c r="Q42" s="84"/>
      <c r="R42" s="89" t="s">
        <v>615</v>
      </c>
      <c r="S42" s="90" t="s">
        <v>746</v>
      </c>
      <c r="T42" s="79"/>
      <c r="U42" s="79" t="s">
        <v>604</v>
      </c>
      <c r="V42" s="79"/>
      <c r="W42" s="79" t="s">
        <v>616</v>
      </c>
      <c r="X42" s="79" t="s">
        <v>620</v>
      </c>
      <c r="Y42" s="79" t="s">
        <v>624</v>
      </c>
      <c r="Z42" s="91"/>
      <c r="AA42" s="91"/>
      <c r="AB42" s="91"/>
      <c r="AC42" s="79"/>
      <c r="AD42" s="79"/>
      <c r="AE42" s="79"/>
      <c r="AF42" s="92"/>
      <c r="AG42" s="92"/>
      <c r="AH42" s="79"/>
      <c r="AI42" s="79" t="s">
        <v>554</v>
      </c>
      <c r="AJ42" s="92" t="s">
        <v>617</v>
      </c>
      <c r="AK42" s="79" t="s">
        <v>408</v>
      </c>
      <c r="AL42" s="79" t="s">
        <v>408</v>
      </c>
      <c r="AM42" s="92" t="s">
        <v>409</v>
      </c>
      <c r="AN42" s="92"/>
      <c r="AO42" s="92"/>
      <c r="AP42" s="121" t="s">
        <v>113</v>
      </c>
      <c r="AQ42" s="92" t="s">
        <v>1560</v>
      </c>
      <c r="AR42" s="92" t="s">
        <v>1561</v>
      </c>
      <c r="AS42" s="92" t="s">
        <v>1562</v>
      </c>
      <c r="AT42" s="79"/>
      <c r="AU42" s="79"/>
      <c r="AV42" s="92" t="e">
        <f>VLOOKUP(I42, Kiegészítő_Mátrix!C:E, 3, FALSE)</f>
        <v>#N/A</v>
      </c>
    </row>
    <row r="43" spans="1:48" s="15" customFormat="1" ht="30" customHeight="1" x14ac:dyDescent="0.3">
      <c r="A43" s="92"/>
      <c r="B43" s="92" t="s">
        <v>365</v>
      </c>
      <c r="C43" s="92" t="s">
        <v>73</v>
      </c>
      <c r="D43" s="102" t="s">
        <v>74</v>
      </c>
      <c r="E43" s="90" t="s">
        <v>366</v>
      </c>
      <c r="F43" s="102"/>
      <c r="G43" s="102"/>
      <c r="H43" s="90" t="s">
        <v>565</v>
      </c>
      <c r="I43" s="102">
        <v>1116720</v>
      </c>
      <c r="J43" s="92" t="s">
        <v>91</v>
      </c>
      <c r="K43" s="92" t="s">
        <v>2158</v>
      </c>
      <c r="L43" s="105" t="s">
        <v>16</v>
      </c>
      <c r="M43" s="106">
        <v>54991</v>
      </c>
      <c r="N43" s="114">
        <v>24613</v>
      </c>
      <c r="O43" s="115">
        <v>42491</v>
      </c>
      <c r="P43" s="97"/>
      <c r="Q43" s="105" t="s">
        <v>5</v>
      </c>
      <c r="R43" s="89" t="s">
        <v>1406</v>
      </c>
      <c r="S43" s="90" t="s">
        <v>1409</v>
      </c>
      <c r="T43" s="92"/>
      <c r="U43" s="92" t="s">
        <v>568</v>
      </c>
      <c r="V43" s="92"/>
      <c r="W43" s="92" t="s">
        <v>569</v>
      </c>
      <c r="X43" s="92"/>
      <c r="Y43" s="92"/>
      <c r="Z43" s="97"/>
      <c r="AA43" s="97"/>
      <c r="AB43" s="97"/>
      <c r="AC43" s="92"/>
      <c r="AD43" s="92"/>
      <c r="AE43" s="92"/>
      <c r="AF43" s="92"/>
      <c r="AG43" s="92"/>
      <c r="AH43" s="92"/>
      <c r="AI43" s="92" t="s">
        <v>567</v>
      </c>
      <c r="AJ43" s="92" t="s">
        <v>566</v>
      </c>
      <c r="AK43" s="92" t="s">
        <v>408</v>
      </c>
      <c r="AL43" s="92" t="s">
        <v>408</v>
      </c>
      <c r="AM43" s="92" t="s">
        <v>409</v>
      </c>
      <c r="AN43" s="92" t="s">
        <v>570</v>
      </c>
      <c r="AO43" s="92" t="s">
        <v>571</v>
      </c>
      <c r="AP43" s="94" t="s">
        <v>7</v>
      </c>
      <c r="AQ43" s="92" t="s">
        <v>1563</v>
      </c>
      <c r="AR43" s="92" t="s">
        <v>1564</v>
      </c>
      <c r="AS43" s="92" t="s">
        <v>1565</v>
      </c>
      <c r="AT43" s="92"/>
      <c r="AU43" s="92"/>
      <c r="AV43" s="92" t="e">
        <f>VLOOKUP(I43, Kiegészítő_Mátrix!C:E, 3, FALSE)</f>
        <v>#N/A</v>
      </c>
    </row>
    <row r="44" spans="1:48" s="15" customFormat="1" ht="30" customHeight="1" x14ac:dyDescent="0.3">
      <c r="A44" s="92"/>
      <c r="B44" s="92" t="s">
        <v>365</v>
      </c>
      <c r="C44" s="92" t="s">
        <v>73</v>
      </c>
      <c r="D44" s="102" t="s">
        <v>74</v>
      </c>
      <c r="E44" s="90" t="s">
        <v>366</v>
      </c>
      <c r="F44" s="98"/>
      <c r="G44" s="98"/>
      <c r="H44" s="90" t="s">
        <v>1259</v>
      </c>
      <c r="I44" s="122">
        <v>1146469</v>
      </c>
      <c r="J44" s="92" t="s">
        <v>1258</v>
      </c>
      <c r="K44" s="92" t="s">
        <v>2159</v>
      </c>
      <c r="L44" s="84" t="s">
        <v>16</v>
      </c>
      <c r="M44" s="106">
        <v>54991</v>
      </c>
      <c r="N44" s="86"/>
      <c r="O44" s="87">
        <v>45200</v>
      </c>
      <c r="P44" s="91"/>
      <c r="Q44" s="84"/>
      <c r="R44" s="89" t="s">
        <v>1407</v>
      </c>
      <c r="S44" s="90" t="s">
        <v>1408</v>
      </c>
      <c r="T44" s="92"/>
      <c r="U44" s="92"/>
      <c r="V44" s="92"/>
      <c r="W44" s="92"/>
      <c r="X44" s="92"/>
      <c r="Y44" s="92"/>
      <c r="Z44" s="97"/>
      <c r="AA44" s="91"/>
      <c r="AB44" s="91"/>
      <c r="AC44" s="92"/>
      <c r="AD44" s="92"/>
      <c r="AE44" s="92"/>
      <c r="AF44" s="92"/>
      <c r="AG44" s="92"/>
      <c r="AH44" s="92"/>
      <c r="AI44" s="92"/>
      <c r="AJ44" s="92"/>
      <c r="AK44" s="92"/>
      <c r="AL44" s="92"/>
      <c r="AM44" s="92"/>
      <c r="AN44" s="92"/>
      <c r="AO44" s="92"/>
      <c r="AP44" s="94"/>
      <c r="AQ44" s="92"/>
      <c r="AR44" s="92"/>
      <c r="AS44" s="92"/>
      <c r="AT44" s="92"/>
      <c r="AU44" s="92"/>
      <c r="AV44" s="92" t="e">
        <f>VLOOKUP(I44, Kiegészítő_Mátrix!C:E, 3, FALSE)</f>
        <v>#N/A</v>
      </c>
    </row>
    <row r="45" spans="1:48" ht="30" customHeight="1" x14ac:dyDescent="0.3">
      <c r="A45" s="79"/>
      <c r="B45" s="79" t="s">
        <v>365</v>
      </c>
      <c r="C45" s="79" t="s">
        <v>73</v>
      </c>
      <c r="D45" s="80" t="s">
        <v>74</v>
      </c>
      <c r="E45" s="81" t="s">
        <v>366</v>
      </c>
      <c r="F45" s="80"/>
      <c r="G45" s="80"/>
      <c r="H45" s="81" t="s">
        <v>602</v>
      </c>
      <c r="I45" s="123">
        <v>1105168</v>
      </c>
      <c r="J45" s="79" t="s">
        <v>101</v>
      </c>
      <c r="K45" s="79" t="s">
        <v>2158</v>
      </c>
      <c r="L45" s="84" t="s">
        <v>16</v>
      </c>
      <c r="M45" s="85">
        <v>51435</v>
      </c>
      <c r="N45" s="86">
        <v>21057</v>
      </c>
      <c r="O45" s="87">
        <v>42005</v>
      </c>
      <c r="P45" s="91"/>
      <c r="Q45" s="84" t="s">
        <v>5</v>
      </c>
      <c r="R45" s="89" t="s">
        <v>614</v>
      </c>
      <c r="S45" s="90" t="s">
        <v>908</v>
      </c>
      <c r="T45" s="79"/>
      <c r="U45" s="79" t="s">
        <v>592</v>
      </c>
      <c r="V45" s="79"/>
      <c r="W45" s="79" t="s">
        <v>591</v>
      </c>
      <c r="X45" s="79"/>
      <c r="Y45" s="79"/>
      <c r="Z45" s="91"/>
      <c r="AA45" s="91"/>
      <c r="AB45" s="91"/>
      <c r="AC45" s="79"/>
      <c r="AD45" s="79"/>
      <c r="AE45" s="79"/>
      <c r="AF45" s="92"/>
      <c r="AG45" s="92"/>
      <c r="AH45" s="79"/>
      <c r="AI45" s="92" t="s">
        <v>594</v>
      </c>
      <c r="AJ45" s="92" t="s">
        <v>593</v>
      </c>
      <c r="AK45" s="79" t="s">
        <v>408</v>
      </c>
      <c r="AL45" s="79" t="s">
        <v>408</v>
      </c>
      <c r="AM45" s="92" t="s">
        <v>409</v>
      </c>
      <c r="AN45" s="92" t="s">
        <v>595</v>
      </c>
      <c r="AO45" s="92" t="s">
        <v>596</v>
      </c>
      <c r="AP45" s="124" t="s">
        <v>94</v>
      </c>
      <c r="AQ45" s="92" t="s">
        <v>1566</v>
      </c>
      <c r="AR45" s="92" t="s">
        <v>1567</v>
      </c>
      <c r="AS45" s="92" t="s">
        <v>1568</v>
      </c>
      <c r="AT45" s="79"/>
      <c r="AU45" s="79"/>
      <c r="AV45" s="92" t="e">
        <f>VLOOKUP(I45, Kiegészítő_Mátrix!C:E, 3, FALSE)</f>
        <v>#N/A</v>
      </c>
    </row>
    <row r="46" spans="1:48" ht="30" customHeight="1" x14ac:dyDescent="0.3">
      <c r="A46" s="79"/>
      <c r="B46" s="79" t="s">
        <v>365</v>
      </c>
      <c r="C46" s="79" t="s">
        <v>73</v>
      </c>
      <c r="D46" s="80" t="s">
        <v>74</v>
      </c>
      <c r="E46" s="81" t="s">
        <v>366</v>
      </c>
      <c r="F46" s="80"/>
      <c r="G46" s="80"/>
      <c r="H46" s="81" t="s">
        <v>600</v>
      </c>
      <c r="I46" s="80">
        <v>1104921</v>
      </c>
      <c r="J46" s="79" t="s">
        <v>102</v>
      </c>
      <c r="K46" s="79" t="s">
        <v>2158</v>
      </c>
      <c r="L46" s="84" t="s">
        <v>16</v>
      </c>
      <c r="M46" s="85">
        <v>37973</v>
      </c>
      <c r="N46" s="86">
        <v>7595</v>
      </c>
      <c r="O46" s="87">
        <v>42370</v>
      </c>
      <c r="P46" s="91" t="s">
        <v>532</v>
      </c>
      <c r="Q46" s="84" t="s">
        <v>5</v>
      </c>
      <c r="R46" s="89" t="s">
        <v>909</v>
      </c>
      <c r="S46" s="90" t="s">
        <v>747</v>
      </c>
      <c r="T46" s="79"/>
      <c r="U46" s="79" t="s">
        <v>604</v>
      </c>
      <c r="V46" s="79"/>
      <c r="W46" s="79" t="s">
        <v>603</v>
      </c>
      <c r="X46" s="79"/>
      <c r="Y46" s="79"/>
      <c r="Z46" s="91"/>
      <c r="AA46" s="91"/>
      <c r="AB46" s="91"/>
      <c r="AC46" s="79"/>
      <c r="AD46" s="79"/>
      <c r="AE46" s="79"/>
      <c r="AF46" s="92"/>
      <c r="AG46" s="92"/>
      <c r="AH46" s="79"/>
      <c r="AI46" s="79" t="s">
        <v>554</v>
      </c>
      <c r="AJ46" s="92" t="s">
        <v>605</v>
      </c>
      <c r="AK46" s="79" t="s">
        <v>408</v>
      </c>
      <c r="AL46" s="79" t="s">
        <v>405</v>
      </c>
      <c r="AM46" s="92" t="s">
        <v>409</v>
      </c>
      <c r="AN46" s="92" t="s">
        <v>606</v>
      </c>
      <c r="AO46" s="92" t="s">
        <v>607</v>
      </c>
      <c r="AP46" s="92" t="s">
        <v>103</v>
      </c>
      <c r="AQ46" s="92" t="s">
        <v>1569</v>
      </c>
      <c r="AR46" s="92" t="s">
        <v>1570</v>
      </c>
      <c r="AS46" s="92" t="s">
        <v>1571</v>
      </c>
      <c r="AT46" s="79"/>
      <c r="AU46" s="79"/>
      <c r="AV46" s="92" t="e">
        <f>VLOOKUP(I46, Kiegészítő_Mátrix!C:E, 3, FALSE)</f>
        <v>#N/A</v>
      </c>
    </row>
    <row r="47" spans="1:48" ht="30" customHeight="1" x14ac:dyDescent="0.3">
      <c r="A47" s="79"/>
      <c r="B47" s="79" t="s">
        <v>365</v>
      </c>
      <c r="C47" s="79" t="s">
        <v>73</v>
      </c>
      <c r="D47" s="80" t="s">
        <v>74</v>
      </c>
      <c r="E47" s="81" t="s">
        <v>366</v>
      </c>
      <c r="F47" s="80"/>
      <c r="G47" s="80"/>
      <c r="H47" s="81" t="s">
        <v>600</v>
      </c>
      <c r="I47" s="80">
        <v>1104922</v>
      </c>
      <c r="J47" s="79" t="s">
        <v>104</v>
      </c>
      <c r="K47" s="79" t="s">
        <v>2158</v>
      </c>
      <c r="L47" s="84" t="s">
        <v>16</v>
      </c>
      <c r="M47" s="85">
        <v>37973</v>
      </c>
      <c r="N47" s="86">
        <v>7595</v>
      </c>
      <c r="O47" s="87">
        <v>42370</v>
      </c>
      <c r="P47" s="91" t="s">
        <v>599</v>
      </c>
      <c r="Q47" s="84" t="s">
        <v>5</v>
      </c>
      <c r="R47" s="89" t="s">
        <v>909</v>
      </c>
      <c r="S47" s="90" t="s">
        <v>748</v>
      </c>
      <c r="T47" s="79"/>
      <c r="U47" s="79" t="s">
        <v>604</v>
      </c>
      <c r="V47" s="79"/>
      <c r="W47" s="79" t="s">
        <v>603</v>
      </c>
      <c r="X47" s="79"/>
      <c r="Y47" s="79"/>
      <c r="Z47" s="91"/>
      <c r="AA47" s="91"/>
      <c r="AB47" s="91"/>
      <c r="AC47" s="79"/>
      <c r="AD47" s="79"/>
      <c r="AE47" s="79"/>
      <c r="AF47" s="92"/>
      <c r="AG47" s="92"/>
      <c r="AH47" s="79"/>
      <c r="AI47" s="79" t="s">
        <v>554</v>
      </c>
      <c r="AJ47" s="92" t="s">
        <v>605</v>
      </c>
      <c r="AK47" s="79" t="s">
        <v>408</v>
      </c>
      <c r="AL47" s="79" t="s">
        <v>405</v>
      </c>
      <c r="AM47" s="92" t="s">
        <v>409</v>
      </c>
      <c r="AN47" s="92" t="s">
        <v>606</v>
      </c>
      <c r="AO47" s="92" t="s">
        <v>607</v>
      </c>
      <c r="AP47" s="92" t="s">
        <v>103</v>
      </c>
      <c r="AQ47" s="92" t="s">
        <v>1572</v>
      </c>
      <c r="AR47" s="92" t="s">
        <v>1573</v>
      </c>
      <c r="AS47" s="92" t="s">
        <v>1574</v>
      </c>
      <c r="AT47" s="79" t="s">
        <v>105</v>
      </c>
      <c r="AU47" s="79"/>
      <c r="AV47" s="92" t="e">
        <f>VLOOKUP(I47, Kiegészítő_Mátrix!C:E, 3, FALSE)</f>
        <v>#N/A</v>
      </c>
    </row>
    <row r="48" spans="1:48" ht="30" customHeight="1" x14ac:dyDescent="0.3">
      <c r="A48" s="79"/>
      <c r="B48" s="79" t="s">
        <v>365</v>
      </c>
      <c r="C48" s="79" t="s">
        <v>73</v>
      </c>
      <c r="D48" s="80" t="s">
        <v>74</v>
      </c>
      <c r="E48" s="81" t="s">
        <v>366</v>
      </c>
      <c r="F48" s="80"/>
      <c r="G48" s="80"/>
      <c r="H48" s="81" t="s">
        <v>600</v>
      </c>
      <c r="I48" s="80">
        <v>1104923</v>
      </c>
      <c r="J48" s="79" t="s">
        <v>106</v>
      </c>
      <c r="K48" s="79" t="s">
        <v>2158</v>
      </c>
      <c r="L48" s="84" t="s">
        <v>16</v>
      </c>
      <c r="M48" s="85">
        <v>37973</v>
      </c>
      <c r="N48" s="86">
        <v>7595</v>
      </c>
      <c r="O48" s="87">
        <v>42370</v>
      </c>
      <c r="P48" s="91" t="s">
        <v>534</v>
      </c>
      <c r="Q48" s="84" t="s">
        <v>5</v>
      </c>
      <c r="R48" s="89" t="s">
        <v>909</v>
      </c>
      <c r="S48" s="90" t="s">
        <v>747</v>
      </c>
      <c r="T48" s="79"/>
      <c r="U48" s="79" t="s">
        <v>604</v>
      </c>
      <c r="V48" s="79"/>
      <c r="W48" s="79" t="s">
        <v>603</v>
      </c>
      <c r="X48" s="79"/>
      <c r="Y48" s="79"/>
      <c r="Z48" s="91"/>
      <c r="AA48" s="91"/>
      <c r="AB48" s="91"/>
      <c r="AC48" s="79"/>
      <c r="AD48" s="79"/>
      <c r="AE48" s="79"/>
      <c r="AF48" s="92"/>
      <c r="AG48" s="92"/>
      <c r="AH48" s="79"/>
      <c r="AI48" s="79" t="s">
        <v>554</v>
      </c>
      <c r="AJ48" s="92" t="s">
        <v>605</v>
      </c>
      <c r="AK48" s="79" t="s">
        <v>408</v>
      </c>
      <c r="AL48" s="79" t="s">
        <v>405</v>
      </c>
      <c r="AM48" s="92" t="s">
        <v>409</v>
      </c>
      <c r="AN48" s="92" t="s">
        <v>606</v>
      </c>
      <c r="AO48" s="92" t="s">
        <v>607</v>
      </c>
      <c r="AP48" s="92" t="s">
        <v>103</v>
      </c>
      <c r="AQ48" s="92" t="s">
        <v>1575</v>
      </c>
      <c r="AR48" s="92" t="s">
        <v>1576</v>
      </c>
      <c r="AS48" s="92" t="s">
        <v>1577</v>
      </c>
      <c r="AT48" s="79"/>
      <c r="AU48" s="79"/>
      <c r="AV48" s="92" t="e">
        <f>VLOOKUP(I48, Kiegészítő_Mátrix!C:E, 3, FALSE)</f>
        <v>#N/A</v>
      </c>
    </row>
    <row r="49" spans="1:48" ht="30" customHeight="1" x14ac:dyDescent="0.3">
      <c r="A49" s="79"/>
      <c r="B49" s="79" t="s">
        <v>365</v>
      </c>
      <c r="C49" s="79" t="s">
        <v>73</v>
      </c>
      <c r="D49" s="80" t="s">
        <v>74</v>
      </c>
      <c r="E49" s="81" t="s">
        <v>366</v>
      </c>
      <c r="F49" s="80"/>
      <c r="G49" s="80"/>
      <c r="H49" s="81" t="s">
        <v>601</v>
      </c>
      <c r="I49" s="80">
        <v>1094060</v>
      </c>
      <c r="J49" s="79" t="s">
        <v>107</v>
      </c>
      <c r="K49" s="79" t="s">
        <v>2158</v>
      </c>
      <c r="L49" s="84" t="s">
        <v>16</v>
      </c>
      <c r="M49" s="85">
        <v>42545</v>
      </c>
      <c r="N49" s="86">
        <v>12165</v>
      </c>
      <c r="O49" s="87">
        <v>41883</v>
      </c>
      <c r="P49" s="91"/>
      <c r="Q49" s="84"/>
      <c r="R49" s="89" t="s">
        <v>613</v>
      </c>
      <c r="S49" s="90" t="s">
        <v>910</v>
      </c>
      <c r="T49" s="79"/>
      <c r="U49" s="79" t="s">
        <v>604</v>
      </c>
      <c r="V49" s="79"/>
      <c r="W49" s="79" t="s">
        <v>608</v>
      </c>
      <c r="X49" s="79"/>
      <c r="Y49" s="79"/>
      <c r="Z49" s="91"/>
      <c r="AA49" s="91"/>
      <c r="AB49" s="91"/>
      <c r="AC49" s="79"/>
      <c r="AD49" s="79"/>
      <c r="AE49" s="79"/>
      <c r="AF49" s="92"/>
      <c r="AG49" s="92"/>
      <c r="AH49" s="79"/>
      <c r="AI49" s="79" t="s">
        <v>609</v>
      </c>
      <c r="AJ49" s="92" t="s">
        <v>610</v>
      </c>
      <c r="AK49" s="79" t="s">
        <v>405</v>
      </c>
      <c r="AL49" s="79" t="s">
        <v>408</v>
      </c>
      <c r="AM49" s="92" t="s">
        <v>409</v>
      </c>
      <c r="AN49" s="92" t="s">
        <v>612</v>
      </c>
      <c r="AO49" s="92" t="s">
        <v>611</v>
      </c>
      <c r="AP49" s="124" t="s">
        <v>94</v>
      </c>
      <c r="AQ49" s="92" t="s">
        <v>1578</v>
      </c>
      <c r="AR49" s="92" t="s">
        <v>1579</v>
      </c>
      <c r="AS49" s="92" t="s">
        <v>1580</v>
      </c>
      <c r="AT49" s="79"/>
      <c r="AU49" s="79"/>
      <c r="AV49" s="92" t="e">
        <f>VLOOKUP(I49, Kiegészítő_Mátrix!C:E, 3, FALSE)</f>
        <v>#N/A</v>
      </c>
    </row>
    <row r="50" spans="1:48" ht="30" customHeight="1" x14ac:dyDescent="0.3">
      <c r="A50" s="79"/>
      <c r="B50" s="79" t="s">
        <v>365</v>
      </c>
      <c r="C50" s="79" t="s">
        <v>73</v>
      </c>
      <c r="D50" s="80" t="s">
        <v>74</v>
      </c>
      <c r="E50" s="81" t="s">
        <v>366</v>
      </c>
      <c r="F50" s="80"/>
      <c r="G50" s="80"/>
      <c r="H50" s="81" t="s">
        <v>601</v>
      </c>
      <c r="I50" s="80">
        <v>1094061</v>
      </c>
      <c r="J50" s="79" t="s">
        <v>108</v>
      </c>
      <c r="K50" s="79" t="s">
        <v>2158</v>
      </c>
      <c r="L50" s="84" t="s">
        <v>16</v>
      </c>
      <c r="M50" s="85">
        <v>42545</v>
      </c>
      <c r="N50" s="86">
        <v>12165</v>
      </c>
      <c r="O50" s="87">
        <v>41699</v>
      </c>
      <c r="P50" s="91"/>
      <c r="Q50" s="84" t="s">
        <v>5</v>
      </c>
      <c r="R50" s="89" t="s">
        <v>613</v>
      </c>
      <c r="S50" s="90" t="s">
        <v>910</v>
      </c>
      <c r="T50" s="79"/>
      <c r="U50" s="79" t="s">
        <v>604</v>
      </c>
      <c r="V50" s="79"/>
      <c r="W50" s="79" t="s">
        <v>608</v>
      </c>
      <c r="X50" s="79"/>
      <c r="Y50" s="79"/>
      <c r="Z50" s="91"/>
      <c r="AA50" s="91"/>
      <c r="AB50" s="91"/>
      <c r="AC50" s="79"/>
      <c r="AD50" s="79"/>
      <c r="AE50" s="79"/>
      <c r="AF50" s="92"/>
      <c r="AG50" s="92"/>
      <c r="AH50" s="79"/>
      <c r="AI50" s="79" t="s">
        <v>609</v>
      </c>
      <c r="AJ50" s="92" t="s">
        <v>610</v>
      </c>
      <c r="AK50" s="79" t="s">
        <v>405</v>
      </c>
      <c r="AL50" s="79" t="s">
        <v>408</v>
      </c>
      <c r="AM50" s="92" t="s">
        <v>409</v>
      </c>
      <c r="AN50" s="92" t="s">
        <v>612</v>
      </c>
      <c r="AO50" s="92" t="s">
        <v>611</v>
      </c>
      <c r="AP50" s="124" t="s">
        <v>94</v>
      </c>
      <c r="AQ50" s="92" t="s">
        <v>1581</v>
      </c>
      <c r="AR50" s="92" t="s">
        <v>1582</v>
      </c>
      <c r="AS50" s="92" t="s">
        <v>1583</v>
      </c>
      <c r="AT50" s="79"/>
      <c r="AU50" s="79"/>
      <c r="AV50" s="92" t="e">
        <f>VLOOKUP(I50, Kiegészítő_Mátrix!C:E, 3, FALSE)</f>
        <v>#N/A</v>
      </c>
    </row>
    <row r="51" spans="1:48" ht="30" customHeight="1" x14ac:dyDescent="0.3">
      <c r="A51" s="79"/>
      <c r="B51" s="79" t="s">
        <v>365</v>
      </c>
      <c r="C51" s="79" t="s">
        <v>73</v>
      </c>
      <c r="D51" s="80" t="s">
        <v>74</v>
      </c>
      <c r="E51" s="81" t="s">
        <v>366</v>
      </c>
      <c r="F51" s="80"/>
      <c r="G51" s="80"/>
      <c r="H51" s="81" t="s">
        <v>601</v>
      </c>
      <c r="I51" s="125" t="s">
        <v>1415</v>
      </c>
      <c r="J51" s="126" t="s">
        <v>109</v>
      </c>
      <c r="K51" s="126" t="s">
        <v>2159</v>
      </c>
      <c r="L51" s="101"/>
      <c r="M51" s="120"/>
      <c r="N51" s="86"/>
      <c r="O51" s="87">
        <v>43313</v>
      </c>
      <c r="P51" s="91"/>
      <c r="Q51" s="84"/>
      <c r="R51" s="89"/>
      <c r="S51" s="90"/>
      <c r="T51" s="79"/>
      <c r="U51" s="79"/>
      <c r="V51" s="79"/>
      <c r="W51" s="79"/>
      <c r="X51" s="79"/>
      <c r="Y51" s="79"/>
      <c r="Z51" s="91"/>
      <c r="AA51" s="91"/>
      <c r="AB51" s="91"/>
      <c r="AC51" s="79"/>
      <c r="AD51" s="79"/>
      <c r="AE51" s="79"/>
      <c r="AF51" s="92"/>
      <c r="AG51" s="92"/>
      <c r="AH51" s="79"/>
      <c r="AI51" s="79"/>
      <c r="AJ51" s="92"/>
      <c r="AK51" s="79"/>
      <c r="AL51" s="79"/>
      <c r="AM51" s="92"/>
      <c r="AN51" s="92"/>
      <c r="AO51" s="92"/>
      <c r="AP51" s="92"/>
      <c r="AQ51" s="92"/>
      <c r="AR51" s="92"/>
      <c r="AS51" s="92"/>
      <c r="AT51" s="79"/>
      <c r="AU51" s="79"/>
      <c r="AV51" s="92" t="e">
        <f>VLOOKUP(I51, Kiegészítő_Mátrix!C:E, 3, FALSE)</f>
        <v>#N/A</v>
      </c>
    </row>
    <row r="52" spans="1:48" ht="30" customHeight="1" x14ac:dyDescent="0.3">
      <c r="A52" s="79"/>
      <c r="B52" s="79" t="s">
        <v>365</v>
      </c>
      <c r="C52" s="79" t="s">
        <v>73</v>
      </c>
      <c r="D52" s="80" t="s">
        <v>74</v>
      </c>
      <c r="E52" s="81" t="s">
        <v>366</v>
      </c>
      <c r="F52" s="80"/>
      <c r="G52" s="80"/>
      <c r="H52" s="81" t="s">
        <v>601</v>
      </c>
      <c r="I52" s="125" t="s">
        <v>1416</v>
      </c>
      <c r="J52" s="126" t="s">
        <v>110</v>
      </c>
      <c r="K52" s="126" t="s">
        <v>2159</v>
      </c>
      <c r="L52" s="101"/>
      <c r="M52" s="120"/>
      <c r="N52" s="86"/>
      <c r="O52" s="87">
        <v>43313</v>
      </c>
      <c r="P52" s="91"/>
      <c r="Q52" s="84"/>
      <c r="R52" s="89"/>
      <c r="S52" s="90"/>
      <c r="T52" s="79"/>
      <c r="U52" s="79"/>
      <c r="V52" s="79"/>
      <c r="W52" s="79"/>
      <c r="X52" s="79"/>
      <c r="Y52" s="79"/>
      <c r="Z52" s="91"/>
      <c r="AA52" s="91"/>
      <c r="AB52" s="91"/>
      <c r="AC52" s="79"/>
      <c r="AD52" s="79"/>
      <c r="AE52" s="79"/>
      <c r="AF52" s="92"/>
      <c r="AG52" s="92"/>
      <c r="AH52" s="79"/>
      <c r="AI52" s="79"/>
      <c r="AJ52" s="92"/>
      <c r="AK52" s="79"/>
      <c r="AL52" s="79"/>
      <c r="AM52" s="92"/>
      <c r="AN52" s="92"/>
      <c r="AO52" s="92"/>
      <c r="AP52" s="92"/>
      <c r="AQ52" s="92"/>
      <c r="AR52" s="92"/>
      <c r="AS52" s="92"/>
      <c r="AT52" s="79"/>
      <c r="AU52" s="79"/>
      <c r="AV52" s="92" t="e">
        <f>VLOOKUP(I52, Kiegészítő_Mátrix!C:E, 3, FALSE)</f>
        <v>#N/A</v>
      </c>
    </row>
    <row r="53" spans="1:48" x14ac:dyDescent="0.3">
      <c r="A53" s="79"/>
      <c r="B53" s="79"/>
      <c r="C53" s="79"/>
      <c r="D53" s="80"/>
      <c r="E53" s="81"/>
      <c r="F53" s="80"/>
      <c r="G53" s="80"/>
      <c r="H53" s="81"/>
      <c r="I53" s="83"/>
      <c r="J53" s="79"/>
      <c r="K53" s="79"/>
      <c r="L53" s="84"/>
      <c r="M53" s="85"/>
      <c r="N53" s="86"/>
      <c r="O53" s="87"/>
      <c r="P53" s="91"/>
      <c r="Q53" s="84"/>
      <c r="R53" s="89"/>
      <c r="S53" s="90"/>
      <c r="T53" s="79"/>
      <c r="U53" s="79"/>
      <c r="V53" s="79"/>
      <c r="W53" s="79"/>
      <c r="X53" s="79"/>
      <c r="Y53" s="79"/>
      <c r="Z53" s="91"/>
      <c r="AA53" s="91"/>
      <c r="AB53" s="91"/>
      <c r="AC53" s="79"/>
      <c r="AD53" s="79"/>
      <c r="AE53" s="79"/>
      <c r="AF53" s="92"/>
      <c r="AG53" s="92"/>
      <c r="AH53" s="79"/>
      <c r="AI53" s="79"/>
      <c r="AJ53" s="92"/>
      <c r="AK53" s="79"/>
      <c r="AL53" s="79"/>
      <c r="AM53" s="92"/>
      <c r="AN53" s="92"/>
      <c r="AO53" s="92"/>
      <c r="AP53" s="92"/>
      <c r="AQ53" s="92"/>
      <c r="AR53" s="92"/>
      <c r="AS53" s="92"/>
      <c r="AT53" s="79"/>
      <c r="AU53" s="79"/>
      <c r="AV53" s="92" t="e">
        <f>VLOOKUP(I53, Kiegészítő_Mátrix!C:E, 3, FALSE)</f>
        <v>#N/A</v>
      </c>
    </row>
    <row r="54" spans="1:48" ht="30" customHeight="1" x14ac:dyDescent="0.3">
      <c r="A54" s="79"/>
      <c r="B54" s="79" t="s">
        <v>365</v>
      </c>
      <c r="C54" s="79" t="s">
        <v>73</v>
      </c>
      <c r="D54" s="80" t="s">
        <v>118</v>
      </c>
      <c r="E54" s="81" t="s">
        <v>367</v>
      </c>
      <c r="F54" s="80"/>
      <c r="G54" s="80"/>
      <c r="H54" s="81" t="s">
        <v>724</v>
      </c>
      <c r="I54" s="80" t="s">
        <v>119</v>
      </c>
      <c r="J54" s="79" t="s">
        <v>120</v>
      </c>
      <c r="K54" s="79" t="s">
        <v>2158</v>
      </c>
      <c r="L54" s="84" t="s">
        <v>4</v>
      </c>
      <c r="M54" s="85">
        <v>59690</v>
      </c>
      <c r="N54" s="86" t="s">
        <v>121</v>
      </c>
      <c r="O54" s="87">
        <v>44896</v>
      </c>
      <c r="P54" s="91" t="s">
        <v>597</v>
      </c>
      <c r="Q54" s="84" t="s">
        <v>5</v>
      </c>
      <c r="R54" s="89" t="s">
        <v>687</v>
      </c>
      <c r="S54" s="90" t="s">
        <v>745</v>
      </c>
      <c r="T54" s="79"/>
      <c r="U54" s="79" t="s">
        <v>676</v>
      </c>
      <c r="V54" s="79"/>
      <c r="W54" s="79" t="s">
        <v>659</v>
      </c>
      <c r="X54" s="79" t="s">
        <v>655</v>
      </c>
      <c r="Y54" s="79" t="s">
        <v>640</v>
      </c>
      <c r="Z54" s="91"/>
      <c r="AA54" s="91"/>
      <c r="AB54" s="91"/>
      <c r="AC54" s="79"/>
      <c r="AD54" s="79"/>
      <c r="AE54" s="79"/>
      <c r="AF54" s="92"/>
      <c r="AG54" s="92"/>
      <c r="AH54" s="79"/>
      <c r="AI54" s="79" t="s">
        <v>554</v>
      </c>
      <c r="AJ54" s="92" t="s">
        <v>713</v>
      </c>
      <c r="AK54" s="79" t="s">
        <v>408</v>
      </c>
      <c r="AL54" s="79" t="s">
        <v>408</v>
      </c>
      <c r="AM54" s="92" t="s">
        <v>409</v>
      </c>
      <c r="AN54" s="92" t="s">
        <v>688</v>
      </c>
      <c r="AO54" s="92" t="s">
        <v>692</v>
      </c>
      <c r="AP54" s="124" t="s">
        <v>122</v>
      </c>
      <c r="AQ54" s="92" t="s">
        <v>1584</v>
      </c>
      <c r="AR54" s="92" t="s">
        <v>1585</v>
      </c>
      <c r="AS54" s="92" t="s">
        <v>1586</v>
      </c>
      <c r="AT54" s="79" t="s">
        <v>123</v>
      </c>
      <c r="AU54" s="79"/>
      <c r="AV54" s="92" t="e">
        <f>VLOOKUP(I54, Kiegészítő_Mátrix!C:E, 3, FALSE)</f>
        <v>#N/A</v>
      </c>
    </row>
    <row r="55" spans="1:48" ht="30" customHeight="1" x14ac:dyDescent="0.3">
      <c r="A55" s="79"/>
      <c r="B55" s="79" t="s">
        <v>365</v>
      </c>
      <c r="C55" s="79" t="s">
        <v>73</v>
      </c>
      <c r="D55" s="80" t="s">
        <v>118</v>
      </c>
      <c r="E55" s="81" t="s">
        <v>367</v>
      </c>
      <c r="F55" s="80"/>
      <c r="G55" s="80"/>
      <c r="H55" s="81" t="s">
        <v>724</v>
      </c>
      <c r="I55" s="80" t="s">
        <v>124</v>
      </c>
      <c r="J55" s="79" t="s">
        <v>125</v>
      </c>
      <c r="K55" s="79" t="s">
        <v>2158</v>
      </c>
      <c r="L55" s="84" t="s">
        <v>4</v>
      </c>
      <c r="M55" s="85">
        <v>59690</v>
      </c>
      <c r="N55" s="86" t="s">
        <v>121</v>
      </c>
      <c r="O55" s="87">
        <v>44896</v>
      </c>
      <c r="P55" s="91" t="s">
        <v>598</v>
      </c>
      <c r="Q55" s="84" t="s">
        <v>5</v>
      </c>
      <c r="R55" s="89" t="s">
        <v>687</v>
      </c>
      <c r="S55" s="90" t="s">
        <v>745</v>
      </c>
      <c r="T55" s="79"/>
      <c r="U55" s="79" t="s">
        <v>676</v>
      </c>
      <c r="V55" s="79"/>
      <c r="W55" s="79" t="s">
        <v>660</v>
      </c>
      <c r="X55" s="79" t="s">
        <v>656</v>
      </c>
      <c r="Y55" s="79" t="s">
        <v>663</v>
      </c>
      <c r="Z55" s="91"/>
      <c r="AA55" s="91"/>
      <c r="AB55" s="91"/>
      <c r="AC55" s="79"/>
      <c r="AD55" s="79"/>
      <c r="AE55" s="79"/>
      <c r="AF55" s="92"/>
      <c r="AG55" s="92"/>
      <c r="AH55" s="79"/>
      <c r="AI55" s="79" t="s">
        <v>554</v>
      </c>
      <c r="AJ55" s="92" t="s">
        <v>713</v>
      </c>
      <c r="AK55" s="79" t="s">
        <v>408</v>
      </c>
      <c r="AL55" s="79" t="s">
        <v>408</v>
      </c>
      <c r="AM55" s="92" t="s">
        <v>409</v>
      </c>
      <c r="AN55" s="92" t="s">
        <v>689</v>
      </c>
      <c r="AO55" s="92" t="s">
        <v>693</v>
      </c>
      <c r="AP55" s="124" t="s">
        <v>122</v>
      </c>
      <c r="AQ55" s="92" t="s">
        <v>1587</v>
      </c>
      <c r="AR55" s="92" t="s">
        <v>1588</v>
      </c>
      <c r="AS55" s="92" t="s">
        <v>1589</v>
      </c>
      <c r="AT55" s="79"/>
      <c r="AU55" s="79"/>
      <c r="AV55" s="92" t="e">
        <f>VLOOKUP(I55, Kiegészítő_Mátrix!C:E, 3, FALSE)</f>
        <v>#N/A</v>
      </c>
    </row>
    <row r="56" spans="1:48" ht="30" customHeight="1" x14ac:dyDescent="0.3">
      <c r="A56" s="79"/>
      <c r="B56" s="79" t="s">
        <v>365</v>
      </c>
      <c r="C56" s="79" t="s">
        <v>73</v>
      </c>
      <c r="D56" s="80" t="s">
        <v>118</v>
      </c>
      <c r="E56" s="81" t="s">
        <v>367</v>
      </c>
      <c r="F56" s="80"/>
      <c r="G56" s="80"/>
      <c r="H56" s="81" t="s">
        <v>724</v>
      </c>
      <c r="I56" s="80" t="s">
        <v>126</v>
      </c>
      <c r="J56" s="79" t="s">
        <v>127</v>
      </c>
      <c r="K56" s="79" t="s">
        <v>2158</v>
      </c>
      <c r="L56" s="84" t="s">
        <v>4</v>
      </c>
      <c r="M56" s="85">
        <v>59690</v>
      </c>
      <c r="N56" s="86" t="s">
        <v>121</v>
      </c>
      <c r="O56" s="87">
        <v>44896</v>
      </c>
      <c r="P56" s="91" t="s">
        <v>599</v>
      </c>
      <c r="Q56" s="84" t="s">
        <v>5</v>
      </c>
      <c r="R56" s="89" t="s">
        <v>687</v>
      </c>
      <c r="S56" s="90" t="s">
        <v>745</v>
      </c>
      <c r="T56" s="79"/>
      <c r="U56" s="79" t="s">
        <v>676</v>
      </c>
      <c r="V56" s="79"/>
      <c r="W56" s="79" t="s">
        <v>661</v>
      </c>
      <c r="X56" s="79" t="s">
        <v>657</v>
      </c>
      <c r="Y56" s="79" t="s">
        <v>664</v>
      </c>
      <c r="Z56" s="91"/>
      <c r="AA56" s="91"/>
      <c r="AB56" s="91"/>
      <c r="AC56" s="79"/>
      <c r="AD56" s="79"/>
      <c r="AE56" s="79"/>
      <c r="AF56" s="92"/>
      <c r="AG56" s="92"/>
      <c r="AH56" s="79"/>
      <c r="AI56" s="79" t="s">
        <v>554</v>
      </c>
      <c r="AJ56" s="92" t="s">
        <v>713</v>
      </c>
      <c r="AK56" s="79" t="s">
        <v>408</v>
      </c>
      <c r="AL56" s="79" t="s">
        <v>408</v>
      </c>
      <c r="AM56" s="92" t="s">
        <v>409</v>
      </c>
      <c r="AN56" s="92" t="s">
        <v>690</v>
      </c>
      <c r="AO56" s="92" t="s">
        <v>694</v>
      </c>
      <c r="AP56" s="124" t="s">
        <v>122</v>
      </c>
      <c r="AQ56" s="92" t="s">
        <v>1590</v>
      </c>
      <c r="AR56" s="92" t="s">
        <v>1591</v>
      </c>
      <c r="AS56" s="92" t="s">
        <v>1592</v>
      </c>
      <c r="AT56" s="79"/>
      <c r="AU56" s="79"/>
      <c r="AV56" s="92" t="e">
        <f>VLOOKUP(I56, Kiegészítő_Mátrix!C:E, 3, FALSE)</f>
        <v>#N/A</v>
      </c>
    </row>
    <row r="57" spans="1:48" ht="30" customHeight="1" x14ac:dyDescent="0.3">
      <c r="A57" s="79"/>
      <c r="B57" s="79" t="s">
        <v>365</v>
      </c>
      <c r="C57" s="79" t="s">
        <v>73</v>
      </c>
      <c r="D57" s="80" t="s">
        <v>118</v>
      </c>
      <c r="E57" s="81" t="s">
        <v>367</v>
      </c>
      <c r="F57" s="80"/>
      <c r="G57" s="80"/>
      <c r="H57" s="81" t="s">
        <v>724</v>
      </c>
      <c r="I57" s="123" t="s">
        <v>81</v>
      </c>
      <c r="J57" s="100" t="s">
        <v>128</v>
      </c>
      <c r="K57" s="126" t="s">
        <v>2158</v>
      </c>
      <c r="L57" s="84" t="s">
        <v>4</v>
      </c>
      <c r="M57" s="85">
        <v>59690</v>
      </c>
      <c r="N57" s="86" t="s">
        <v>121</v>
      </c>
      <c r="O57" s="87">
        <v>45292</v>
      </c>
      <c r="P57" s="91" t="s">
        <v>534</v>
      </c>
      <c r="Q57" s="84" t="s">
        <v>5</v>
      </c>
      <c r="R57" s="89" t="s">
        <v>687</v>
      </c>
      <c r="S57" s="90" t="s">
        <v>745</v>
      </c>
      <c r="T57" s="79"/>
      <c r="U57" s="79" t="s">
        <v>676</v>
      </c>
      <c r="V57" s="79"/>
      <c r="W57" s="79" t="s">
        <v>662</v>
      </c>
      <c r="X57" s="79" t="s">
        <v>658</v>
      </c>
      <c r="Y57" s="79" t="s">
        <v>665</v>
      </c>
      <c r="Z57" s="91"/>
      <c r="AA57" s="91"/>
      <c r="AB57" s="91"/>
      <c r="AC57" s="79"/>
      <c r="AD57" s="79"/>
      <c r="AE57" s="79"/>
      <c r="AF57" s="92"/>
      <c r="AG57" s="92"/>
      <c r="AH57" s="79"/>
      <c r="AI57" s="79" t="s">
        <v>554</v>
      </c>
      <c r="AJ57" s="92" t="s">
        <v>713</v>
      </c>
      <c r="AK57" s="79" t="s">
        <v>408</v>
      </c>
      <c r="AL57" s="79" t="s">
        <v>408</v>
      </c>
      <c r="AM57" s="92" t="s">
        <v>409</v>
      </c>
      <c r="AN57" s="92" t="s">
        <v>691</v>
      </c>
      <c r="AO57" s="92" t="s">
        <v>695</v>
      </c>
      <c r="AP57" s="124" t="s">
        <v>122</v>
      </c>
      <c r="AQ57" s="92" t="s">
        <v>1593</v>
      </c>
      <c r="AR57" s="92" t="s">
        <v>1594</v>
      </c>
      <c r="AS57" s="92" t="s">
        <v>1595</v>
      </c>
      <c r="AT57" s="79"/>
      <c r="AU57" s="79"/>
      <c r="AV57" s="92" t="e">
        <f>VLOOKUP(I57, Kiegészítő_Mátrix!C:E, 3, FALSE)</f>
        <v>#N/A</v>
      </c>
    </row>
    <row r="58" spans="1:48" ht="30" customHeight="1" x14ac:dyDescent="0.3">
      <c r="A58" s="79"/>
      <c r="B58" s="79" t="s">
        <v>365</v>
      </c>
      <c r="C58" s="79" t="s">
        <v>73</v>
      </c>
      <c r="D58" s="80" t="s">
        <v>118</v>
      </c>
      <c r="E58" s="81" t="s">
        <v>367</v>
      </c>
      <c r="F58" s="80"/>
      <c r="G58" s="80"/>
      <c r="H58" s="81" t="s">
        <v>725</v>
      </c>
      <c r="I58" s="80" t="s">
        <v>130</v>
      </c>
      <c r="J58" s="79" t="s">
        <v>131</v>
      </c>
      <c r="K58" s="79" t="s">
        <v>2158</v>
      </c>
      <c r="L58" s="84" t="s">
        <v>4</v>
      </c>
      <c r="M58" s="85">
        <v>57785</v>
      </c>
      <c r="N58" s="86" t="s">
        <v>121</v>
      </c>
      <c r="O58" s="87">
        <v>41640</v>
      </c>
      <c r="P58" s="91" t="s">
        <v>597</v>
      </c>
      <c r="Q58" s="84" t="s">
        <v>5</v>
      </c>
      <c r="R58" s="89" t="s">
        <v>708</v>
      </c>
      <c r="S58" s="90" t="s">
        <v>744</v>
      </c>
      <c r="T58" s="79"/>
      <c r="U58" s="79" t="s">
        <v>604</v>
      </c>
      <c r="V58" s="79"/>
      <c r="W58" s="79" t="s">
        <v>637</v>
      </c>
      <c r="X58" s="79" t="s">
        <v>634</v>
      </c>
      <c r="Y58" s="79" t="s">
        <v>640</v>
      </c>
      <c r="Z58" s="91"/>
      <c r="AA58" s="91"/>
      <c r="AB58" s="91"/>
      <c r="AC58" s="79"/>
      <c r="AD58" s="79"/>
      <c r="AE58" s="79"/>
      <c r="AF58" s="92"/>
      <c r="AG58" s="92"/>
      <c r="AH58" s="79"/>
      <c r="AI58" s="79" t="s">
        <v>554</v>
      </c>
      <c r="AJ58" s="92" t="s">
        <v>713</v>
      </c>
      <c r="AK58" s="79" t="s">
        <v>408</v>
      </c>
      <c r="AL58" s="79" t="s">
        <v>408</v>
      </c>
      <c r="AM58" s="92" t="s">
        <v>409</v>
      </c>
      <c r="AN58" s="92" t="s">
        <v>696</v>
      </c>
      <c r="AO58" s="92" t="s">
        <v>699</v>
      </c>
      <c r="AP58" s="93" t="s">
        <v>62</v>
      </c>
      <c r="AQ58" s="92" t="s">
        <v>1596</v>
      </c>
      <c r="AR58" s="92" t="s">
        <v>1597</v>
      </c>
      <c r="AS58" s="92" t="s">
        <v>1598</v>
      </c>
      <c r="AT58" s="79"/>
      <c r="AU58" s="79"/>
      <c r="AV58" s="92" t="str">
        <f>VLOOKUP(I58, Kiegészítő_Mátrix!C:E, 3, FALSE)</f>
        <v>Joyce Easy FullFace kiegészítők</v>
      </c>
    </row>
    <row r="59" spans="1:48" ht="30" customHeight="1" x14ac:dyDescent="0.3">
      <c r="A59" s="79"/>
      <c r="B59" s="79" t="s">
        <v>365</v>
      </c>
      <c r="C59" s="79" t="s">
        <v>73</v>
      </c>
      <c r="D59" s="80" t="s">
        <v>118</v>
      </c>
      <c r="E59" s="81" t="s">
        <v>367</v>
      </c>
      <c r="F59" s="80"/>
      <c r="G59" s="80"/>
      <c r="H59" s="81" t="s">
        <v>725</v>
      </c>
      <c r="I59" s="80" t="s">
        <v>132</v>
      </c>
      <c r="J59" s="79" t="s">
        <v>133</v>
      </c>
      <c r="K59" s="79" t="s">
        <v>2158</v>
      </c>
      <c r="L59" s="84" t="s">
        <v>4</v>
      </c>
      <c r="M59" s="85">
        <v>57785</v>
      </c>
      <c r="N59" s="86" t="s">
        <v>121</v>
      </c>
      <c r="O59" s="87">
        <v>41640</v>
      </c>
      <c r="P59" s="91" t="s">
        <v>598</v>
      </c>
      <c r="Q59" s="84" t="s">
        <v>5</v>
      </c>
      <c r="R59" s="89" t="s">
        <v>708</v>
      </c>
      <c r="S59" s="90" t="s">
        <v>744</v>
      </c>
      <c r="T59" s="79"/>
      <c r="U59" s="79" t="s">
        <v>604</v>
      </c>
      <c r="V59" s="79"/>
      <c r="W59" s="79" t="s">
        <v>638</v>
      </c>
      <c r="X59" s="79" t="s">
        <v>635</v>
      </c>
      <c r="Y59" s="79" t="s">
        <v>641</v>
      </c>
      <c r="Z59" s="91"/>
      <c r="AA59" s="91"/>
      <c r="AB59" s="91"/>
      <c r="AC59" s="79"/>
      <c r="AD59" s="79"/>
      <c r="AE59" s="79"/>
      <c r="AF59" s="92"/>
      <c r="AG59" s="92"/>
      <c r="AH59" s="79"/>
      <c r="AI59" s="79" t="s">
        <v>554</v>
      </c>
      <c r="AJ59" s="92" t="s">
        <v>713</v>
      </c>
      <c r="AK59" s="79" t="s">
        <v>408</v>
      </c>
      <c r="AL59" s="79" t="s">
        <v>408</v>
      </c>
      <c r="AM59" s="92" t="s">
        <v>409</v>
      </c>
      <c r="AN59" s="92" t="s">
        <v>697</v>
      </c>
      <c r="AO59" s="92" t="s">
        <v>700</v>
      </c>
      <c r="AP59" s="93" t="s">
        <v>62</v>
      </c>
      <c r="AQ59" s="92" t="s">
        <v>1599</v>
      </c>
      <c r="AR59" s="92" t="s">
        <v>1600</v>
      </c>
      <c r="AS59" s="92" t="s">
        <v>1601</v>
      </c>
      <c r="AT59" s="79"/>
      <c r="AU59" s="79"/>
      <c r="AV59" s="92" t="str">
        <f>VLOOKUP(I59, Kiegészítő_Mátrix!C:E, 3, FALSE)</f>
        <v>Joyce Easy FullFace kiegészítők</v>
      </c>
    </row>
    <row r="60" spans="1:48" ht="30" customHeight="1" x14ac:dyDescent="0.3">
      <c r="A60" s="79"/>
      <c r="B60" s="79" t="s">
        <v>365</v>
      </c>
      <c r="C60" s="79" t="s">
        <v>73</v>
      </c>
      <c r="D60" s="80" t="s">
        <v>118</v>
      </c>
      <c r="E60" s="81" t="s">
        <v>367</v>
      </c>
      <c r="F60" s="80"/>
      <c r="G60" s="80"/>
      <c r="H60" s="81" t="s">
        <v>725</v>
      </c>
      <c r="I60" s="80" t="s">
        <v>134</v>
      </c>
      <c r="J60" s="79" t="s">
        <v>135</v>
      </c>
      <c r="K60" s="79" t="s">
        <v>2158</v>
      </c>
      <c r="L60" s="84" t="s">
        <v>4</v>
      </c>
      <c r="M60" s="85">
        <v>57785</v>
      </c>
      <c r="N60" s="86" t="s">
        <v>121</v>
      </c>
      <c r="O60" s="87">
        <v>41640</v>
      </c>
      <c r="P60" s="91" t="s">
        <v>599</v>
      </c>
      <c r="Q60" s="84" t="s">
        <v>5</v>
      </c>
      <c r="R60" s="89" t="s">
        <v>708</v>
      </c>
      <c r="S60" s="90" t="s">
        <v>744</v>
      </c>
      <c r="T60" s="79"/>
      <c r="U60" s="79" t="s">
        <v>604</v>
      </c>
      <c r="V60" s="79"/>
      <c r="W60" s="79" t="s">
        <v>639</v>
      </c>
      <c r="X60" s="79" t="s">
        <v>636</v>
      </c>
      <c r="Y60" s="79" t="s">
        <v>642</v>
      </c>
      <c r="Z60" s="91"/>
      <c r="AA60" s="91"/>
      <c r="AB60" s="91"/>
      <c r="AC60" s="79"/>
      <c r="AD60" s="79"/>
      <c r="AE60" s="79"/>
      <c r="AF60" s="92"/>
      <c r="AG60" s="92"/>
      <c r="AH60" s="79"/>
      <c r="AI60" s="79" t="s">
        <v>554</v>
      </c>
      <c r="AJ60" s="92" t="s">
        <v>713</v>
      </c>
      <c r="AK60" s="79" t="s">
        <v>408</v>
      </c>
      <c r="AL60" s="79" t="s">
        <v>408</v>
      </c>
      <c r="AM60" s="92" t="s">
        <v>409</v>
      </c>
      <c r="AN60" s="92" t="s">
        <v>698</v>
      </c>
      <c r="AO60" s="92" t="s">
        <v>701</v>
      </c>
      <c r="AP60" s="93" t="s">
        <v>62</v>
      </c>
      <c r="AQ60" s="92" t="s">
        <v>1602</v>
      </c>
      <c r="AR60" s="92" t="s">
        <v>1603</v>
      </c>
      <c r="AS60" s="92" t="s">
        <v>1604</v>
      </c>
      <c r="AT60" s="79"/>
      <c r="AU60" s="79"/>
      <c r="AV60" s="92" t="str">
        <f>VLOOKUP(I60, Kiegészítő_Mátrix!C:E, 3, FALSE)</f>
        <v>Joyce Easy FullFace kiegészítők</v>
      </c>
    </row>
    <row r="61" spans="1:48" ht="30" customHeight="1" x14ac:dyDescent="0.3">
      <c r="A61" s="79"/>
      <c r="B61" s="79" t="s">
        <v>365</v>
      </c>
      <c r="C61" s="79" t="s">
        <v>73</v>
      </c>
      <c r="D61" s="80" t="s">
        <v>118</v>
      </c>
      <c r="E61" s="81" t="s">
        <v>367</v>
      </c>
      <c r="F61" s="80"/>
      <c r="G61" s="80"/>
      <c r="H61" s="81" t="s">
        <v>726</v>
      </c>
      <c r="I61" s="80" t="s">
        <v>136</v>
      </c>
      <c r="J61" s="79" t="s">
        <v>137</v>
      </c>
      <c r="K61" s="79" t="s">
        <v>2158</v>
      </c>
      <c r="L61" s="84" t="s">
        <v>4</v>
      </c>
      <c r="M61" s="85">
        <v>64770</v>
      </c>
      <c r="N61" s="86" t="s">
        <v>121</v>
      </c>
      <c r="O61" s="87">
        <v>42522</v>
      </c>
      <c r="P61" s="91" t="s">
        <v>597</v>
      </c>
      <c r="Q61" s="84" t="s">
        <v>5</v>
      </c>
      <c r="R61" s="89" t="s">
        <v>709</v>
      </c>
      <c r="S61" s="90" t="s">
        <v>743</v>
      </c>
      <c r="T61" s="79"/>
      <c r="U61" s="79" t="s">
        <v>643</v>
      </c>
      <c r="V61" s="79"/>
      <c r="W61" s="79" t="s">
        <v>637</v>
      </c>
      <c r="X61" s="79" t="s">
        <v>634</v>
      </c>
      <c r="Y61" s="79" t="s">
        <v>640</v>
      </c>
      <c r="Z61" s="91"/>
      <c r="AA61" s="91"/>
      <c r="AB61" s="91"/>
      <c r="AC61" s="79"/>
      <c r="AD61" s="79"/>
      <c r="AE61" s="79"/>
      <c r="AF61" s="92"/>
      <c r="AG61" s="92"/>
      <c r="AH61" s="79"/>
      <c r="AI61" s="79" t="s">
        <v>554</v>
      </c>
      <c r="AJ61" s="92" t="s">
        <v>713</v>
      </c>
      <c r="AK61" s="79" t="s">
        <v>408</v>
      </c>
      <c r="AL61" s="79" t="s">
        <v>408</v>
      </c>
      <c r="AM61" s="92" t="s">
        <v>409</v>
      </c>
      <c r="AN61" s="92" t="s">
        <v>702</v>
      </c>
      <c r="AO61" s="92" t="s">
        <v>705</v>
      </c>
      <c r="AP61" s="93" t="s">
        <v>62</v>
      </c>
      <c r="AQ61" s="92" t="s">
        <v>1605</v>
      </c>
      <c r="AR61" s="92" t="s">
        <v>1606</v>
      </c>
      <c r="AS61" s="92" t="s">
        <v>1607</v>
      </c>
      <c r="AT61" s="79"/>
      <c r="AU61" s="79"/>
      <c r="AV61" s="92" t="e">
        <f>VLOOKUP(I61, Kiegészítő_Mátrix!C:E, 3, FALSE)</f>
        <v>#N/A</v>
      </c>
    </row>
    <row r="62" spans="1:48" ht="30" customHeight="1" x14ac:dyDescent="0.3">
      <c r="A62" s="79"/>
      <c r="B62" s="79" t="s">
        <v>365</v>
      </c>
      <c r="C62" s="79" t="s">
        <v>73</v>
      </c>
      <c r="D62" s="80" t="s">
        <v>118</v>
      </c>
      <c r="E62" s="81" t="s">
        <v>367</v>
      </c>
      <c r="F62" s="80"/>
      <c r="G62" s="80"/>
      <c r="H62" s="81" t="s">
        <v>726</v>
      </c>
      <c r="I62" s="80" t="s">
        <v>138</v>
      </c>
      <c r="J62" s="79" t="s">
        <v>139</v>
      </c>
      <c r="K62" s="79" t="s">
        <v>2158</v>
      </c>
      <c r="L62" s="84" t="s">
        <v>4</v>
      </c>
      <c r="M62" s="85">
        <v>64770</v>
      </c>
      <c r="N62" s="86" t="s">
        <v>121</v>
      </c>
      <c r="O62" s="87">
        <v>42522</v>
      </c>
      <c r="P62" s="91" t="s">
        <v>598</v>
      </c>
      <c r="Q62" s="84" t="s">
        <v>5</v>
      </c>
      <c r="R62" s="89" t="s">
        <v>709</v>
      </c>
      <c r="S62" s="90" t="s">
        <v>743</v>
      </c>
      <c r="T62" s="79"/>
      <c r="U62" s="79" t="s">
        <v>643</v>
      </c>
      <c r="V62" s="79"/>
      <c r="W62" s="79" t="s">
        <v>638</v>
      </c>
      <c r="X62" s="79" t="s">
        <v>635</v>
      </c>
      <c r="Y62" s="79" t="s">
        <v>641</v>
      </c>
      <c r="Z62" s="91"/>
      <c r="AA62" s="91"/>
      <c r="AB62" s="91"/>
      <c r="AC62" s="79"/>
      <c r="AD62" s="79"/>
      <c r="AE62" s="79"/>
      <c r="AF62" s="92"/>
      <c r="AG62" s="92"/>
      <c r="AH62" s="79"/>
      <c r="AI62" s="79" t="s">
        <v>554</v>
      </c>
      <c r="AJ62" s="92" t="s">
        <v>713</v>
      </c>
      <c r="AK62" s="79" t="s">
        <v>408</v>
      </c>
      <c r="AL62" s="79" t="s">
        <v>507</v>
      </c>
      <c r="AM62" s="92" t="s">
        <v>409</v>
      </c>
      <c r="AN62" s="92" t="s">
        <v>703</v>
      </c>
      <c r="AO62" s="92" t="s">
        <v>706</v>
      </c>
      <c r="AP62" s="93" t="s">
        <v>62</v>
      </c>
      <c r="AQ62" s="92" t="s">
        <v>1608</v>
      </c>
      <c r="AR62" s="92" t="s">
        <v>1609</v>
      </c>
      <c r="AS62" s="92" t="s">
        <v>1610</v>
      </c>
      <c r="AT62" s="79"/>
      <c r="AU62" s="79"/>
      <c r="AV62" s="92" t="e">
        <f>VLOOKUP(I62, Kiegészítő_Mátrix!C:E, 3, FALSE)</f>
        <v>#N/A</v>
      </c>
    </row>
    <row r="63" spans="1:48" ht="30" customHeight="1" x14ac:dyDescent="0.3">
      <c r="A63" s="79"/>
      <c r="B63" s="79" t="s">
        <v>365</v>
      </c>
      <c r="C63" s="79" t="s">
        <v>73</v>
      </c>
      <c r="D63" s="80" t="s">
        <v>118</v>
      </c>
      <c r="E63" s="81" t="s">
        <v>367</v>
      </c>
      <c r="F63" s="80"/>
      <c r="G63" s="80"/>
      <c r="H63" s="81" t="s">
        <v>726</v>
      </c>
      <c r="I63" s="80" t="s">
        <v>140</v>
      </c>
      <c r="J63" s="79" t="s">
        <v>141</v>
      </c>
      <c r="K63" s="79" t="s">
        <v>2158</v>
      </c>
      <c r="L63" s="84" t="s">
        <v>4</v>
      </c>
      <c r="M63" s="85">
        <v>64770</v>
      </c>
      <c r="N63" s="86" t="s">
        <v>121</v>
      </c>
      <c r="O63" s="87">
        <v>42491</v>
      </c>
      <c r="P63" s="91" t="s">
        <v>599</v>
      </c>
      <c r="Q63" s="84" t="s">
        <v>5</v>
      </c>
      <c r="R63" s="89" t="s">
        <v>709</v>
      </c>
      <c r="S63" s="90" t="s">
        <v>710</v>
      </c>
      <c r="T63" s="79"/>
      <c r="U63" s="79" t="s">
        <v>643</v>
      </c>
      <c r="V63" s="79"/>
      <c r="W63" s="79" t="s">
        <v>639</v>
      </c>
      <c r="X63" s="79" t="s">
        <v>636</v>
      </c>
      <c r="Y63" s="79" t="s">
        <v>642</v>
      </c>
      <c r="Z63" s="91"/>
      <c r="AA63" s="91"/>
      <c r="AB63" s="91"/>
      <c r="AC63" s="79"/>
      <c r="AD63" s="79"/>
      <c r="AE63" s="79"/>
      <c r="AF63" s="92"/>
      <c r="AG63" s="92"/>
      <c r="AH63" s="79"/>
      <c r="AI63" s="79" t="s">
        <v>554</v>
      </c>
      <c r="AJ63" s="92" t="s">
        <v>713</v>
      </c>
      <c r="AK63" s="79" t="s">
        <v>408</v>
      </c>
      <c r="AL63" s="79" t="s">
        <v>507</v>
      </c>
      <c r="AM63" s="92" t="s">
        <v>409</v>
      </c>
      <c r="AN63" s="92" t="s">
        <v>704</v>
      </c>
      <c r="AO63" s="92" t="s">
        <v>707</v>
      </c>
      <c r="AP63" s="93" t="s">
        <v>62</v>
      </c>
      <c r="AQ63" s="92" t="s">
        <v>1611</v>
      </c>
      <c r="AR63" s="92" t="s">
        <v>1612</v>
      </c>
      <c r="AS63" s="92" t="s">
        <v>1613</v>
      </c>
      <c r="AT63" s="79"/>
      <c r="AU63" s="79"/>
      <c r="AV63" s="92" t="e">
        <f>VLOOKUP(I63, Kiegészítő_Mátrix!C:E, 3, FALSE)</f>
        <v>#N/A</v>
      </c>
    </row>
    <row r="64" spans="1:48" ht="30" customHeight="1" x14ac:dyDescent="0.3">
      <c r="A64" s="79"/>
      <c r="B64" s="79" t="s">
        <v>365</v>
      </c>
      <c r="C64" s="79" t="s">
        <v>73</v>
      </c>
      <c r="D64" s="80" t="s">
        <v>118</v>
      </c>
      <c r="E64" s="81" t="s">
        <v>367</v>
      </c>
      <c r="F64" s="80"/>
      <c r="G64" s="80"/>
      <c r="H64" s="81" t="s">
        <v>727</v>
      </c>
      <c r="I64" s="117" t="s">
        <v>142</v>
      </c>
      <c r="J64" s="118" t="s">
        <v>143</v>
      </c>
      <c r="K64" s="126" t="s">
        <v>2158</v>
      </c>
      <c r="L64" s="119" t="s">
        <v>4</v>
      </c>
      <c r="M64" s="85">
        <v>60960</v>
      </c>
      <c r="N64" s="86" t="s">
        <v>121</v>
      </c>
      <c r="O64" s="87"/>
      <c r="P64" s="91" t="s">
        <v>941</v>
      </c>
      <c r="Q64" s="84"/>
      <c r="R64" s="89" t="s">
        <v>721</v>
      </c>
      <c r="S64" s="90" t="s">
        <v>742</v>
      </c>
      <c r="T64" s="79"/>
      <c r="U64" s="79" t="s">
        <v>604</v>
      </c>
      <c r="V64" s="79"/>
      <c r="W64" s="79" t="s">
        <v>646</v>
      </c>
      <c r="X64" s="79" t="s">
        <v>647</v>
      </c>
      <c r="Y64" s="79" t="s">
        <v>648</v>
      </c>
      <c r="Z64" s="91"/>
      <c r="AA64" s="91"/>
      <c r="AB64" s="91"/>
      <c r="AC64" s="79"/>
      <c r="AD64" s="79"/>
      <c r="AE64" s="79"/>
      <c r="AF64" s="92"/>
      <c r="AG64" s="92"/>
      <c r="AH64" s="79"/>
      <c r="AI64" s="79" t="s">
        <v>555</v>
      </c>
      <c r="AJ64" s="92" t="s">
        <v>714</v>
      </c>
      <c r="AK64" s="79" t="s">
        <v>408</v>
      </c>
      <c r="AL64" s="79" t="s">
        <v>507</v>
      </c>
      <c r="AM64" s="92" t="s">
        <v>409</v>
      </c>
      <c r="AN64" s="92" t="s">
        <v>711</v>
      </c>
      <c r="AO64" s="92" t="s">
        <v>712</v>
      </c>
      <c r="AP64" s="93" t="s">
        <v>62</v>
      </c>
      <c r="AQ64" s="92" t="s">
        <v>1614</v>
      </c>
      <c r="AR64" s="92" t="s">
        <v>1615</v>
      </c>
      <c r="AS64" s="92" t="s">
        <v>1616</v>
      </c>
      <c r="AT64" s="79"/>
      <c r="AU64" s="79"/>
      <c r="AV64" s="92" t="e">
        <f>VLOOKUP(I64, Kiegészítő_Mátrix!C:E, 3, FALSE)</f>
        <v>#N/A</v>
      </c>
    </row>
    <row r="65" spans="1:48" ht="30" customHeight="1" x14ac:dyDescent="0.3">
      <c r="A65" s="79"/>
      <c r="B65" s="79" t="s">
        <v>365</v>
      </c>
      <c r="C65" s="79" t="s">
        <v>73</v>
      </c>
      <c r="D65" s="80" t="s">
        <v>118</v>
      </c>
      <c r="E65" s="81" t="s">
        <v>367</v>
      </c>
      <c r="F65" s="80"/>
      <c r="G65" s="80"/>
      <c r="H65" s="81" t="s">
        <v>723</v>
      </c>
      <c r="I65" s="80" t="s">
        <v>144</v>
      </c>
      <c r="J65" s="79" t="s">
        <v>145</v>
      </c>
      <c r="K65" s="79" t="s">
        <v>2158</v>
      </c>
      <c r="L65" s="84" t="s">
        <v>4</v>
      </c>
      <c r="M65" s="85">
        <v>62230</v>
      </c>
      <c r="N65" s="86" t="s">
        <v>121</v>
      </c>
      <c r="O65" s="87">
        <v>44896</v>
      </c>
      <c r="P65" s="91" t="s">
        <v>597</v>
      </c>
      <c r="Q65" s="84"/>
      <c r="R65" s="89" t="s">
        <v>722</v>
      </c>
      <c r="S65" s="90" t="s">
        <v>741</v>
      </c>
      <c r="T65" s="79"/>
      <c r="U65" s="79" t="s">
        <v>675</v>
      </c>
      <c r="V65" s="79"/>
      <c r="W65" s="79" t="s">
        <v>669</v>
      </c>
      <c r="X65" s="79" t="s">
        <v>666</v>
      </c>
      <c r="Y65" s="79" t="s">
        <v>672</v>
      </c>
      <c r="Z65" s="91"/>
      <c r="AA65" s="91"/>
      <c r="AB65" s="91"/>
      <c r="AC65" s="79"/>
      <c r="AD65" s="79"/>
      <c r="AE65" s="79"/>
      <c r="AF65" s="92"/>
      <c r="AG65" s="92"/>
      <c r="AH65" s="79"/>
      <c r="AI65" s="79" t="s">
        <v>554</v>
      </c>
      <c r="AJ65" s="92" t="s">
        <v>713</v>
      </c>
      <c r="AK65" s="79" t="s">
        <v>408</v>
      </c>
      <c r="AL65" s="79" t="s">
        <v>507</v>
      </c>
      <c r="AM65" s="92" t="s">
        <v>409</v>
      </c>
      <c r="AN65" s="92" t="s">
        <v>715</v>
      </c>
      <c r="AO65" s="92" t="s">
        <v>718</v>
      </c>
      <c r="AP65" s="93" t="s">
        <v>62</v>
      </c>
      <c r="AQ65" s="92" t="s">
        <v>1617</v>
      </c>
      <c r="AR65" s="92" t="s">
        <v>1618</v>
      </c>
      <c r="AS65" s="92" t="s">
        <v>1619</v>
      </c>
      <c r="AT65" s="79" t="s">
        <v>146</v>
      </c>
      <c r="AU65" s="79"/>
      <c r="AV65" s="92" t="e">
        <f>VLOOKUP(I65, Kiegészítő_Mátrix!C:E, 3, FALSE)</f>
        <v>#N/A</v>
      </c>
    </row>
    <row r="66" spans="1:48" ht="30" customHeight="1" x14ac:dyDescent="0.3">
      <c r="A66" s="79"/>
      <c r="B66" s="79" t="s">
        <v>365</v>
      </c>
      <c r="C66" s="79" t="s">
        <v>73</v>
      </c>
      <c r="D66" s="80" t="s">
        <v>118</v>
      </c>
      <c r="E66" s="81" t="s">
        <v>367</v>
      </c>
      <c r="F66" s="80"/>
      <c r="G66" s="80"/>
      <c r="H66" s="81" t="s">
        <v>723</v>
      </c>
      <c r="I66" s="80" t="s">
        <v>147</v>
      </c>
      <c r="J66" s="79" t="s">
        <v>148</v>
      </c>
      <c r="K66" s="79" t="s">
        <v>2158</v>
      </c>
      <c r="L66" s="84" t="s">
        <v>4</v>
      </c>
      <c r="M66" s="85">
        <v>62230</v>
      </c>
      <c r="N66" s="86" t="s">
        <v>121</v>
      </c>
      <c r="O66" s="87">
        <v>44896</v>
      </c>
      <c r="P66" s="91" t="s">
        <v>598</v>
      </c>
      <c r="Q66" s="84"/>
      <c r="R66" s="89" t="s">
        <v>722</v>
      </c>
      <c r="S66" s="90" t="s">
        <v>741</v>
      </c>
      <c r="T66" s="79"/>
      <c r="U66" s="79" t="s">
        <v>675</v>
      </c>
      <c r="V66" s="79"/>
      <c r="W66" s="79" t="s">
        <v>670</v>
      </c>
      <c r="X66" s="79" t="s">
        <v>667</v>
      </c>
      <c r="Y66" s="79" t="s">
        <v>673</v>
      </c>
      <c r="Z66" s="91"/>
      <c r="AA66" s="91"/>
      <c r="AB66" s="91"/>
      <c r="AC66" s="79"/>
      <c r="AD66" s="79"/>
      <c r="AE66" s="79"/>
      <c r="AF66" s="92"/>
      <c r="AG66" s="92"/>
      <c r="AH66" s="79"/>
      <c r="AI66" s="79" t="s">
        <v>554</v>
      </c>
      <c r="AJ66" s="92" t="s">
        <v>713</v>
      </c>
      <c r="AK66" s="79" t="s">
        <v>408</v>
      </c>
      <c r="AL66" s="79" t="s">
        <v>507</v>
      </c>
      <c r="AM66" s="92" t="s">
        <v>409</v>
      </c>
      <c r="AN66" s="92" t="s">
        <v>716</v>
      </c>
      <c r="AO66" s="92" t="s">
        <v>719</v>
      </c>
      <c r="AP66" s="93" t="s">
        <v>62</v>
      </c>
      <c r="AQ66" s="92" t="s">
        <v>1620</v>
      </c>
      <c r="AR66" s="92" t="s">
        <v>1621</v>
      </c>
      <c r="AS66" s="92" t="s">
        <v>1622</v>
      </c>
      <c r="AT66" s="79"/>
      <c r="AU66" s="79"/>
      <c r="AV66" s="92" t="e">
        <f>VLOOKUP(I66, Kiegészítő_Mátrix!C:E, 3, FALSE)</f>
        <v>#N/A</v>
      </c>
    </row>
    <row r="67" spans="1:48" ht="30" customHeight="1" x14ac:dyDescent="0.3">
      <c r="A67" s="79"/>
      <c r="B67" s="79" t="s">
        <v>365</v>
      </c>
      <c r="C67" s="79" t="s">
        <v>73</v>
      </c>
      <c r="D67" s="80" t="s">
        <v>118</v>
      </c>
      <c r="E67" s="81" t="s">
        <v>367</v>
      </c>
      <c r="F67" s="80"/>
      <c r="G67" s="80"/>
      <c r="H67" s="81" t="s">
        <v>723</v>
      </c>
      <c r="I67" s="80" t="s">
        <v>149</v>
      </c>
      <c r="J67" s="79" t="s">
        <v>150</v>
      </c>
      <c r="K67" s="79" t="s">
        <v>2158</v>
      </c>
      <c r="L67" s="84" t="s">
        <v>4</v>
      </c>
      <c r="M67" s="85">
        <v>62230</v>
      </c>
      <c r="N67" s="86" t="s">
        <v>121</v>
      </c>
      <c r="O67" s="87">
        <v>44896</v>
      </c>
      <c r="P67" s="91" t="s">
        <v>599</v>
      </c>
      <c r="Q67" s="84"/>
      <c r="R67" s="89" t="s">
        <v>722</v>
      </c>
      <c r="S67" s="90" t="s">
        <v>741</v>
      </c>
      <c r="T67" s="79"/>
      <c r="U67" s="79" t="s">
        <v>675</v>
      </c>
      <c r="V67" s="79"/>
      <c r="W67" s="79" t="s">
        <v>671</v>
      </c>
      <c r="X67" s="79" t="s">
        <v>668</v>
      </c>
      <c r="Y67" s="79" t="s">
        <v>674</v>
      </c>
      <c r="Z67" s="91"/>
      <c r="AA67" s="91"/>
      <c r="AB67" s="91"/>
      <c r="AC67" s="79"/>
      <c r="AD67" s="79"/>
      <c r="AE67" s="79"/>
      <c r="AF67" s="92"/>
      <c r="AG67" s="92"/>
      <c r="AH67" s="79"/>
      <c r="AI67" s="79" t="s">
        <v>554</v>
      </c>
      <c r="AJ67" s="92" t="s">
        <v>713</v>
      </c>
      <c r="AK67" s="79" t="s">
        <v>408</v>
      </c>
      <c r="AL67" s="79" t="s">
        <v>507</v>
      </c>
      <c r="AM67" s="92" t="s">
        <v>409</v>
      </c>
      <c r="AN67" s="92" t="s">
        <v>717</v>
      </c>
      <c r="AO67" s="92" t="s">
        <v>720</v>
      </c>
      <c r="AP67" s="93" t="s">
        <v>62</v>
      </c>
      <c r="AQ67" s="92" t="s">
        <v>1623</v>
      </c>
      <c r="AR67" s="92" t="s">
        <v>1624</v>
      </c>
      <c r="AS67" s="92" t="s">
        <v>1625</v>
      </c>
      <c r="AT67" s="79"/>
      <c r="AU67" s="79"/>
      <c r="AV67" s="92" t="e">
        <f>VLOOKUP(I67, Kiegészítő_Mátrix!C:E, 3, FALSE)</f>
        <v>#N/A</v>
      </c>
    </row>
    <row r="68" spans="1:48" ht="30" customHeight="1" x14ac:dyDescent="0.3">
      <c r="A68" s="79"/>
      <c r="B68" s="79" t="s">
        <v>365</v>
      </c>
      <c r="C68" s="79" t="s">
        <v>73</v>
      </c>
      <c r="D68" s="80" t="s">
        <v>118</v>
      </c>
      <c r="E68" s="81" t="s">
        <v>367</v>
      </c>
      <c r="F68" s="80"/>
      <c r="G68" s="80"/>
      <c r="H68" s="81" t="s">
        <v>728</v>
      </c>
      <c r="I68" s="80">
        <v>1090221</v>
      </c>
      <c r="J68" s="79" t="s">
        <v>151</v>
      </c>
      <c r="K68" s="79" t="s">
        <v>2158</v>
      </c>
      <c r="L68" s="84" t="s">
        <v>16</v>
      </c>
      <c r="M68" s="85">
        <v>72390</v>
      </c>
      <c r="N68" s="86" t="s">
        <v>121</v>
      </c>
      <c r="O68" s="87">
        <v>41640</v>
      </c>
      <c r="P68" s="91" t="s">
        <v>597</v>
      </c>
      <c r="Q68" s="84" t="s">
        <v>5</v>
      </c>
      <c r="R68" s="89" t="s">
        <v>732</v>
      </c>
      <c r="S68" s="90" t="s">
        <v>740</v>
      </c>
      <c r="T68" s="79"/>
      <c r="U68" s="79" t="s">
        <v>604</v>
      </c>
      <c r="V68" s="79"/>
      <c r="W68" s="79"/>
      <c r="X68" s="79"/>
      <c r="Y68" s="79" t="s">
        <v>733</v>
      </c>
      <c r="Z68" s="91"/>
      <c r="AA68" s="91"/>
      <c r="AB68" s="91"/>
      <c r="AC68" s="79"/>
      <c r="AD68" s="79"/>
      <c r="AE68" s="79"/>
      <c r="AF68" s="92"/>
      <c r="AG68" s="92"/>
      <c r="AH68" s="79"/>
      <c r="AI68" s="79" t="s">
        <v>554</v>
      </c>
      <c r="AJ68" s="92" t="s">
        <v>713</v>
      </c>
      <c r="AK68" s="79" t="s">
        <v>408</v>
      </c>
      <c r="AL68" s="79" t="s">
        <v>507</v>
      </c>
      <c r="AM68" s="92" t="s">
        <v>409</v>
      </c>
      <c r="AN68" s="92" t="s">
        <v>736</v>
      </c>
      <c r="AO68" s="92" t="s">
        <v>737</v>
      </c>
      <c r="AP68" s="124" t="s">
        <v>94</v>
      </c>
      <c r="AQ68" s="92" t="s">
        <v>1626</v>
      </c>
      <c r="AR68" s="92" t="s">
        <v>1627</v>
      </c>
      <c r="AS68" s="92" t="s">
        <v>1628</v>
      </c>
      <c r="AT68" s="79"/>
      <c r="AU68" s="79"/>
      <c r="AV68" s="92" t="e">
        <f>VLOOKUP(I68, Kiegészítő_Mátrix!C:E, 3, FALSE)</f>
        <v>#N/A</v>
      </c>
    </row>
    <row r="69" spans="1:48" ht="30" customHeight="1" x14ac:dyDescent="0.3">
      <c r="A69" s="79"/>
      <c r="B69" s="79" t="s">
        <v>365</v>
      </c>
      <c r="C69" s="79" t="s">
        <v>73</v>
      </c>
      <c r="D69" s="80" t="s">
        <v>118</v>
      </c>
      <c r="E69" s="81" t="s">
        <v>367</v>
      </c>
      <c r="F69" s="80"/>
      <c r="G69" s="80"/>
      <c r="H69" s="81" t="s">
        <v>728</v>
      </c>
      <c r="I69" s="80">
        <v>1090225</v>
      </c>
      <c r="J69" s="79" t="s">
        <v>152</v>
      </c>
      <c r="K69" s="79" t="s">
        <v>2158</v>
      </c>
      <c r="L69" s="84" t="s">
        <v>16</v>
      </c>
      <c r="M69" s="85">
        <v>72390</v>
      </c>
      <c r="N69" s="86" t="s">
        <v>121</v>
      </c>
      <c r="O69" s="87">
        <v>41640</v>
      </c>
      <c r="P69" s="91" t="s">
        <v>598</v>
      </c>
      <c r="Q69" s="84" t="s">
        <v>5</v>
      </c>
      <c r="R69" s="89" t="s">
        <v>732</v>
      </c>
      <c r="S69" s="90" t="s">
        <v>740</v>
      </c>
      <c r="T69" s="79"/>
      <c r="U69" s="79" t="s">
        <v>604</v>
      </c>
      <c r="V69" s="79"/>
      <c r="W69" s="79"/>
      <c r="X69" s="79"/>
      <c r="Y69" s="79" t="s">
        <v>734</v>
      </c>
      <c r="Z69" s="91"/>
      <c r="AA69" s="91"/>
      <c r="AB69" s="91"/>
      <c r="AC69" s="79"/>
      <c r="AD69" s="79"/>
      <c r="AE69" s="79"/>
      <c r="AF69" s="92"/>
      <c r="AG69" s="92"/>
      <c r="AH69" s="79"/>
      <c r="AI69" s="79" t="s">
        <v>554</v>
      </c>
      <c r="AJ69" s="92" t="s">
        <v>713</v>
      </c>
      <c r="AK69" s="79" t="s">
        <v>408</v>
      </c>
      <c r="AL69" s="79" t="s">
        <v>507</v>
      </c>
      <c r="AM69" s="92" t="s">
        <v>409</v>
      </c>
      <c r="AN69" s="92" t="s">
        <v>736</v>
      </c>
      <c r="AO69" s="92" t="s">
        <v>737</v>
      </c>
      <c r="AP69" s="124" t="s">
        <v>94</v>
      </c>
      <c r="AQ69" s="92" t="s">
        <v>1629</v>
      </c>
      <c r="AR69" s="92" t="s">
        <v>1630</v>
      </c>
      <c r="AS69" s="92" t="s">
        <v>1631</v>
      </c>
      <c r="AT69" s="79"/>
      <c r="AU69" s="79"/>
      <c r="AV69" s="92" t="e">
        <f>VLOOKUP(I69, Kiegészítő_Mátrix!C:E, 3, FALSE)</f>
        <v>#N/A</v>
      </c>
    </row>
    <row r="70" spans="1:48" ht="30" customHeight="1" x14ac:dyDescent="0.3">
      <c r="A70" s="79"/>
      <c r="B70" s="79" t="s">
        <v>365</v>
      </c>
      <c r="C70" s="79" t="s">
        <v>73</v>
      </c>
      <c r="D70" s="80" t="s">
        <v>118</v>
      </c>
      <c r="E70" s="81" t="s">
        <v>367</v>
      </c>
      <c r="F70" s="80"/>
      <c r="G70" s="80"/>
      <c r="H70" s="81" t="s">
        <v>728</v>
      </c>
      <c r="I70" s="80">
        <v>1090228</v>
      </c>
      <c r="J70" s="79" t="s">
        <v>153</v>
      </c>
      <c r="K70" s="79" t="s">
        <v>2158</v>
      </c>
      <c r="L70" s="84" t="s">
        <v>16</v>
      </c>
      <c r="M70" s="85">
        <v>72390</v>
      </c>
      <c r="N70" s="86" t="s">
        <v>121</v>
      </c>
      <c r="O70" s="87">
        <v>41640</v>
      </c>
      <c r="P70" s="91" t="s">
        <v>599</v>
      </c>
      <c r="Q70" s="84" t="s">
        <v>5</v>
      </c>
      <c r="R70" s="89" t="s">
        <v>732</v>
      </c>
      <c r="S70" s="90" t="s">
        <v>740</v>
      </c>
      <c r="T70" s="79"/>
      <c r="U70" s="79" t="s">
        <v>604</v>
      </c>
      <c r="V70" s="79"/>
      <c r="W70" s="79"/>
      <c r="X70" s="79"/>
      <c r="Y70" s="79" t="s">
        <v>735</v>
      </c>
      <c r="Z70" s="91"/>
      <c r="AA70" s="91"/>
      <c r="AB70" s="91"/>
      <c r="AC70" s="79"/>
      <c r="AD70" s="79"/>
      <c r="AE70" s="79"/>
      <c r="AF70" s="92"/>
      <c r="AG70" s="92"/>
      <c r="AH70" s="79"/>
      <c r="AI70" s="79" t="s">
        <v>554</v>
      </c>
      <c r="AJ70" s="92" t="s">
        <v>713</v>
      </c>
      <c r="AK70" s="79" t="s">
        <v>408</v>
      </c>
      <c r="AL70" s="79" t="s">
        <v>507</v>
      </c>
      <c r="AM70" s="92" t="s">
        <v>409</v>
      </c>
      <c r="AN70" s="92" t="s">
        <v>736</v>
      </c>
      <c r="AO70" s="92" t="s">
        <v>737</v>
      </c>
      <c r="AP70" s="124" t="s">
        <v>94</v>
      </c>
      <c r="AQ70" s="92" t="s">
        <v>1632</v>
      </c>
      <c r="AR70" s="92" t="s">
        <v>1633</v>
      </c>
      <c r="AS70" s="92" t="s">
        <v>1634</v>
      </c>
      <c r="AT70" s="79"/>
      <c r="AU70" s="79"/>
      <c r="AV70" s="92" t="e">
        <f>VLOOKUP(I70, Kiegészítő_Mátrix!C:E, 3, FALSE)</f>
        <v>#N/A</v>
      </c>
    </row>
    <row r="71" spans="1:48" ht="30" customHeight="1" x14ac:dyDescent="0.3">
      <c r="A71" s="79"/>
      <c r="B71" s="79" t="s">
        <v>365</v>
      </c>
      <c r="C71" s="79" t="s">
        <v>73</v>
      </c>
      <c r="D71" s="80" t="s">
        <v>118</v>
      </c>
      <c r="E71" s="81" t="s">
        <v>367</v>
      </c>
      <c r="F71" s="80"/>
      <c r="G71" s="80"/>
      <c r="H71" s="81" t="s">
        <v>729</v>
      </c>
      <c r="I71" s="80">
        <v>1090421</v>
      </c>
      <c r="J71" s="79" t="s">
        <v>154</v>
      </c>
      <c r="K71" s="79" t="s">
        <v>2158</v>
      </c>
      <c r="L71" s="84" t="s">
        <v>16</v>
      </c>
      <c r="M71" s="85">
        <v>76200</v>
      </c>
      <c r="N71" s="86" t="s">
        <v>121</v>
      </c>
      <c r="O71" s="87">
        <v>42370</v>
      </c>
      <c r="P71" s="91" t="s">
        <v>597</v>
      </c>
      <c r="Q71" s="84" t="s">
        <v>5</v>
      </c>
      <c r="R71" s="89" t="s">
        <v>738</v>
      </c>
      <c r="S71" s="90" t="s">
        <v>739</v>
      </c>
      <c r="T71" s="79"/>
      <c r="U71" s="79" t="s">
        <v>604</v>
      </c>
      <c r="V71" s="79"/>
      <c r="W71" s="79"/>
      <c r="X71" s="79"/>
      <c r="Y71" s="79"/>
      <c r="Z71" s="91"/>
      <c r="AA71" s="91"/>
      <c r="AB71" s="91"/>
      <c r="AC71" s="79"/>
      <c r="AD71" s="79"/>
      <c r="AE71" s="79"/>
      <c r="AF71" s="92"/>
      <c r="AG71" s="92"/>
      <c r="AH71" s="79"/>
      <c r="AI71" s="79" t="s">
        <v>554</v>
      </c>
      <c r="AJ71" s="92" t="s">
        <v>713</v>
      </c>
      <c r="AK71" s="79" t="s">
        <v>408</v>
      </c>
      <c r="AL71" s="79" t="s">
        <v>507</v>
      </c>
      <c r="AM71" s="92" t="s">
        <v>409</v>
      </c>
      <c r="AN71" s="92" t="s">
        <v>736</v>
      </c>
      <c r="AO71" s="92" t="s">
        <v>737</v>
      </c>
      <c r="AP71" s="127" t="s">
        <v>21</v>
      </c>
      <c r="AQ71" s="92" t="s">
        <v>1635</v>
      </c>
      <c r="AR71" s="92" t="s">
        <v>1636</v>
      </c>
      <c r="AS71" s="92" t="s">
        <v>1637</v>
      </c>
      <c r="AT71" s="79"/>
      <c r="AU71" s="79"/>
      <c r="AV71" s="92" t="e">
        <f>VLOOKUP(I71, Kiegészítő_Mátrix!C:E, 3, FALSE)</f>
        <v>#N/A</v>
      </c>
    </row>
    <row r="72" spans="1:48" ht="30" customHeight="1" x14ac:dyDescent="0.3">
      <c r="A72" s="79"/>
      <c r="B72" s="79" t="s">
        <v>365</v>
      </c>
      <c r="C72" s="79" t="s">
        <v>73</v>
      </c>
      <c r="D72" s="80" t="s">
        <v>118</v>
      </c>
      <c r="E72" s="81" t="s">
        <v>367</v>
      </c>
      <c r="F72" s="80"/>
      <c r="G72" s="80"/>
      <c r="H72" s="81" t="s">
        <v>729</v>
      </c>
      <c r="I72" s="80">
        <v>1090425</v>
      </c>
      <c r="J72" s="79" t="s">
        <v>155</v>
      </c>
      <c r="K72" s="79" t="s">
        <v>2158</v>
      </c>
      <c r="L72" s="84" t="s">
        <v>16</v>
      </c>
      <c r="M72" s="85">
        <v>76200</v>
      </c>
      <c r="N72" s="86" t="s">
        <v>121</v>
      </c>
      <c r="O72" s="87">
        <v>42370</v>
      </c>
      <c r="P72" s="91" t="s">
        <v>598</v>
      </c>
      <c r="Q72" s="84" t="s">
        <v>5</v>
      </c>
      <c r="R72" s="89" t="s">
        <v>738</v>
      </c>
      <c r="S72" s="90" t="s">
        <v>739</v>
      </c>
      <c r="T72" s="79"/>
      <c r="U72" s="79" t="s">
        <v>604</v>
      </c>
      <c r="V72" s="79"/>
      <c r="W72" s="79"/>
      <c r="X72" s="79"/>
      <c r="Y72" s="79"/>
      <c r="Z72" s="91"/>
      <c r="AA72" s="91"/>
      <c r="AB72" s="91"/>
      <c r="AC72" s="79"/>
      <c r="AD72" s="79"/>
      <c r="AE72" s="79"/>
      <c r="AF72" s="92"/>
      <c r="AG72" s="92"/>
      <c r="AH72" s="79"/>
      <c r="AI72" s="79" t="s">
        <v>554</v>
      </c>
      <c r="AJ72" s="92" t="s">
        <v>713</v>
      </c>
      <c r="AK72" s="79" t="s">
        <v>408</v>
      </c>
      <c r="AL72" s="79" t="s">
        <v>507</v>
      </c>
      <c r="AM72" s="92" t="s">
        <v>409</v>
      </c>
      <c r="AN72" s="92" t="s">
        <v>736</v>
      </c>
      <c r="AO72" s="92" t="s">
        <v>737</v>
      </c>
      <c r="AP72" s="127" t="s">
        <v>21</v>
      </c>
      <c r="AQ72" s="92" t="s">
        <v>1638</v>
      </c>
      <c r="AR72" s="92" t="s">
        <v>1639</v>
      </c>
      <c r="AS72" s="92" t="s">
        <v>1640</v>
      </c>
      <c r="AT72" s="79"/>
      <c r="AU72" s="79"/>
      <c r="AV72" s="92" t="e">
        <f>VLOOKUP(I72, Kiegészítő_Mátrix!C:E, 3, FALSE)</f>
        <v>#N/A</v>
      </c>
    </row>
    <row r="73" spans="1:48" ht="30" customHeight="1" x14ac:dyDescent="0.3">
      <c r="A73" s="79"/>
      <c r="B73" s="79" t="s">
        <v>365</v>
      </c>
      <c r="C73" s="79" t="s">
        <v>73</v>
      </c>
      <c r="D73" s="80" t="s">
        <v>118</v>
      </c>
      <c r="E73" s="81" t="s">
        <v>367</v>
      </c>
      <c r="F73" s="80"/>
      <c r="G73" s="80"/>
      <c r="H73" s="81" t="s">
        <v>729</v>
      </c>
      <c r="I73" s="80">
        <v>1090426</v>
      </c>
      <c r="J73" s="79" t="s">
        <v>156</v>
      </c>
      <c r="K73" s="79" t="s">
        <v>2158</v>
      </c>
      <c r="L73" s="84" t="s">
        <v>16</v>
      </c>
      <c r="M73" s="85">
        <v>76200</v>
      </c>
      <c r="N73" s="86" t="s">
        <v>121</v>
      </c>
      <c r="O73" s="87">
        <v>42370</v>
      </c>
      <c r="P73" s="91" t="s">
        <v>599</v>
      </c>
      <c r="Q73" s="84" t="s">
        <v>5</v>
      </c>
      <c r="R73" s="89" t="s">
        <v>738</v>
      </c>
      <c r="S73" s="90" t="s">
        <v>739</v>
      </c>
      <c r="T73" s="79"/>
      <c r="U73" s="79" t="s">
        <v>604</v>
      </c>
      <c r="V73" s="79"/>
      <c r="W73" s="79"/>
      <c r="X73" s="79"/>
      <c r="Y73" s="79"/>
      <c r="Z73" s="91"/>
      <c r="AA73" s="91"/>
      <c r="AB73" s="91"/>
      <c r="AC73" s="79"/>
      <c r="AD73" s="79"/>
      <c r="AE73" s="79"/>
      <c r="AF73" s="92"/>
      <c r="AG73" s="92"/>
      <c r="AH73" s="79"/>
      <c r="AI73" s="79" t="s">
        <v>554</v>
      </c>
      <c r="AJ73" s="92" t="s">
        <v>713</v>
      </c>
      <c r="AK73" s="79" t="s">
        <v>408</v>
      </c>
      <c r="AL73" s="79" t="s">
        <v>507</v>
      </c>
      <c r="AM73" s="92" t="s">
        <v>409</v>
      </c>
      <c r="AN73" s="92" t="s">
        <v>736</v>
      </c>
      <c r="AO73" s="92" t="s">
        <v>737</v>
      </c>
      <c r="AP73" s="127" t="s">
        <v>21</v>
      </c>
      <c r="AQ73" s="92" t="s">
        <v>1641</v>
      </c>
      <c r="AR73" s="92" t="s">
        <v>1642</v>
      </c>
      <c r="AS73" s="92" t="s">
        <v>1643</v>
      </c>
      <c r="AT73" s="79"/>
      <c r="AU73" s="79"/>
      <c r="AV73" s="92" t="e">
        <f>VLOOKUP(I73, Kiegészítő_Mátrix!C:E, 3, FALSE)</f>
        <v>#N/A</v>
      </c>
    </row>
    <row r="74" spans="1:48" ht="30" customHeight="1" x14ac:dyDescent="0.3">
      <c r="A74" s="79"/>
      <c r="B74" s="79" t="s">
        <v>365</v>
      </c>
      <c r="C74" s="79" t="s">
        <v>73</v>
      </c>
      <c r="D74" s="80" t="s">
        <v>118</v>
      </c>
      <c r="E74" s="81" t="s">
        <v>367</v>
      </c>
      <c r="F74" s="80"/>
      <c r="G74" s="80"/>
      <c r="H74" s="81" t="s">
        <v>730</v>
      </c>
      <c r="I74" s="80">
        <v>1090662</v>
      </c>
      <c r="J74" s="79" t="s">
        <v>157</v>
      </c>
      <c r="K74" s="79" t="s">
        <v>2158</v>
      </c>
      <c r="L74" s="84" t="s">
        <v>16</v>
      </c>
      <c r="M74" s="85">
        <v>76200</v>
      </c>
      <c r="N74" s="86" t="s">
        <v>121</v>
      </c>
      <c r="O74" s="87">
        <v>42491</v>
      </c>
      <c r="P74" s="91" t="s">
        <v>597</v>
      </c>
      <c r="Q74" s="84" t="s">
        <v>5</v>
      </c>
      <c r="R74" s="89" t="s">
        <v>751</v>
      </c>
      <c r="S74" s="90" t="s">
        <v>752</v>
      </c>
      <c r="T74" s="79"/>
      <c r="U74" s="79" t="s">
        <v>604</v>
      </c>
      <c r="V74" s="79"/>
      <c r="W74" s="79"/>
      <c r="X74" s="79"/>
      <c r="Y74" s="79" t="s">
        <v>760</v>
      </c>
      <c r="Z74" s="91"/>
      <c r="AA74" s="91"/>
      <c r="AB74" s="91"/>
      <c r="AC74" s="79"/>
      <c r="AD74" s="79"/>
      <c r="AE74" s="79"/>
      <c r="AF74" s="92"/>
      <c r="AG74" s="92"/>
      <c r="AH74" s="79"/>
      <c r="AI74" s="79" t="s">
        <v>554</v>
      </c>
      <c r="AJ74" s="92" t="s">
        <v>713</v>
      </c>
      <c r="AK74" s="79" t="s">
        <v>405</v>
      </c>
      <c r="AL74" s="79" t="s">
        <v>507</v>
      </c>
      <c r="AM74" s="92" t="s">
        <v>409</v>
      </c>
      <c r="AN74" s="92" t="s">
        <v>763</v>
      </c>
      <c r="AO74" s="92" t="s">
        <v>764</v>
      </c>
      <c r="AP74" s="124" t="s">
        <v>94</v>
      </c>
      <c r="AQ74" s="92" t="s">
        <v>1644</v>
      </c>
      <c r="AR74" s="92" t="s">
        <v>1645</v>
      </c>
      <c r="AS74" s="92" t="s">
        <v>1646</v>
      </c>
      <c r="AT74" s="79" t="s">
        <v>13</v>
      </c>
      <c r="AU74" s="79"/>
      <c r="AV74" s="92" t="e">
        <f>VLOOKUP(I74, Kiegészítő_Mátrix!C:E, 3, FALSE)</f>
        <v>#N/A</v>
      </c>
    </row>
    <row r="75" spans="1:48" ht="30" customHeight="1" x14ac:dyDescent="0.3">
      <c r="A75" s="79"/>
      <c r="B75" s="79" t="s">
        <v>365</v>
      </c>
      <c r="C75" s="79" t="s">
        <v>73</v>
      </c>
      <c r="D75" s="80" t="s">
        <v>118</v>
      </c>
      <c r="E75" s="81" t="s">
        <v>367</v>
      </c>
      <c r="F75" s="80"/>
      <c r="G75" s="80"/>
      <c r="H75" s="81" t="s">
        <v>730</v>
      </c>
      <c r="I75" s="80">
        <v>1090663</v>
      </c>
      <c r="J75" s="79" t="s">
        <v>158</v>
      </c>
      <c r="K75" s="79" t="s">
        <v>2158</v>
      </c>
      <c r="L75" s="84" t="s">
        <v>16</v>
      </c>
      <c r="M75" s="85">
        <v>76200</v>
      </c>
      <c r="N75" s="86" t="s">
        <v>121</v>
      </c>
      <c r="O75" s="87">
        <v>42491</v>
      </c>
      <c r="P75" s="91" t="s">
        <v>598</v>
      </c>
      <c r="Q75" s="84" t="s">
        <v>5</v>
      </c>
      <c r="R75" s="89" t="s">
        <v>751</v>
      </c>
      <c r="S75" s="90" t="s">
        <v>752</v>
      </c>
      <c r="T75" s="79"/>
      <c r="U75" s="79" t="s">
        <v>604</v>
      </c>
      <c r="V75" s="79"/>
      <c r="W75" s="79"/>
      <c r="X75" s="79"/>
      <c r="Y75" s="79" t="s">
        <v>761</v>
      </c>
      <c r="Z75" s="91"/>
      <c r="AA75" s="91"/>
      <c r="AB75" s="91"/>
      <c r="AC75" s="79"/>
      <c r="AD75" s="79"/>
      <c r="AE75" s="79"/>
      <c r="AF75" s="92"/>
      <c r="AG75" s="92"/>
      <c r="AH75" s="79"/>
      <c r="AI75" s="79" t="s">
        <v>554</v>
      </c>
      <c r="AJ75" s="92" t="s">
        <v>713</v>
      </c>
      <c r="AK75" s="79" t="s">
        <v>405</v>
      </c>
      <c r="AL75" s="79" t="s">
        <v>507</v>
      </c>
      <c r="AM75" s="92" t="s">
        <v>409</v>
      </c>
      <c r="AN75" s="92" t="s">
        <v>763</v>
      </c>
      <c r="AO75" s="92" t="s">
        <v>764</v>
      </c>
      <c r="AP75" s="124" t="s">
        <v>94</v>
      </c>
      <c r="AQ75" s="92" t="s">
        <v>1647</v>
      </c>
      <c r="AR75" s="92" t="s">
        <v>1648</v>
      </c>
      <c r="AS75" s="92" t="s">
        <v>1649</v>
      </c>
      <c r="AT75" s="79"/>
      <c r="AU75" s="79"/>
      <c r="AV75" s="92" t="e">
        <f>VLOOKUP(I75, Kiegészítő_Mátrix!C:E, 3, FALSE)</f>
        <v>#N/A</v>
      </c>
    </row>
    <row r="76" spans="1:48" ht="30" customHeight="1" x14ac:dyDescent="0.3">
      <c r="A76" s="79"/>
      <c r="B76" s="79" t="s">
        <v>365</v>
      </c>
      <c r="C76" s="79" t="s">
        <v>73</v>
      </c>
      <c r="D76" s="80" t="s">
        <v>118</v>
      </c>
      <c r="E76" s="81" t="s">
        <v>367</v>
      </c>
      <c r="F76" s="80"/>
      <c r="G76" s="80"/>
      <c r="H76" s="81" t="s">
        <v>730</v>
      </c>
      <c r="I76" s="80">
        <v>1090664</v>
      </c>
      <c r="J76" s="79" t="s">
        <v>159</v>
      </c>
      <c r="K76" s="79" t="s">
        <v>2158</v>
      </c>
      <c r="L76" s="84" t="s">
        <v>16</v>
      </c>
      <c r="M76" s="85">
        <v>76200</v>
      </c>
      <c r="N76" s="86" t="s">
        <v>121</v>
      </c>
      <c r="O76" s="87">
        <v>42491</v>
      </c>
      <c r="P76" s="91" t="s">
        <v>599</v>
      </c>
      <c r="Q76" s="84" t="s">
        <v>5</v>
      </c>
      <c r="R76" s="89" t="s">
        <v>751</v>
      </c>
      <c r="S76" s="90" t="s">
        <v>752</v>
      </c>
      <c r="T76" s="79"/>
      <c r="U76" s="79" t="s">
        <v>604</v>
      </c>
      <c r="V76" s="79"/>
      <c r="W76" s="79"/>
      <c r="X76" s="79"/>
      <c r="Y76" s="79" t="s">
        <v>762</v>
      </c>
      <c r="Z76" s="91"/>
      <c r="AA76" s="91"/>
      <c r="AB76" s="91"/>
      <c r="AC76" s="79"/>
      <c r="AD76" s="79"/>
      <c r="AE76" s="79"/>
      <c r="AF76" s="92"/>
      <c r="AG76" s="92"/>
      <c r="AH76" s="79"/>
      <c r="AI76" s="79" t="s">
        <v>554</v>
      </c>
      <c r="AJ76" s="92" t="s">
        <v>713</v>
      </c>
      <c r="AK76" s="79" t="s">
        <v>405</v>
      </c>
      <c r="AL76" s="79" t="s">
        <v>507</v>
      </c>
      <c r="AM76" s="92" t="s">
        <v>409</v>
      </c>
      <c r="AN76" s="92" t="s">
        <v>763</v>
      </c>
      <c r="AO76" s="92" t="s">
        <v>764</v>
      </c>
      <c r="AP76" s="124" t="s">
        <v>94</v>
      </c>
      <c r="AQ76" s="92" t="s">
        <v>1650</v>
      </c>
      <c r="AR76" s="92" t="s">
        <v>1651</v>
      </c>
      <c r="AS76" s="92" t="s">
        <v>1652</v>
      </c>
      <c r="AT76" s="79"/>
      <c r="AU76" s="79"/>
      <c r="AV76" s="92" t="e">
        <f>VLOOKUP(I76, Kiegészítő_Mátrix!C:E, 3, FALSE)</f>
        <v>#N/A</v>
      </c>
    </row>
    <row r="77" spans="1:48" ht="30" customHeight="1" x14ac:dyDescent="0.3">
      <c r="A77" s="79"/>
      <c r="B77" s="79" t="s">
        <v>365</v>
      </c>
      <c r="C77" s="79" t="s">
        <v>73</v>
      </c>
      <c r="D77" s="80" t="s">
        <v>118</v>
      </c>
      <c r="E77" s="81" t="s">
        <v>367</v>
      </c>
      <c r="F77" s="80"/>
      <c r="G77" s="80"/>
      <c r="H77" s="81" t="s">
        <v>731</v>
      </c>
      <c r="I77" s="80">
        <v>1133370</v>
      </c>
      <c r="J77" s="79" t="s">
        <v>160</v>
      </c>
      <c r="K77" s="79" t="s">
        <v>2158</v>
      </c>
      <c r="L77" s="84" t="s">
        <v>16</v>
      </c>
      <c r="M77" s="85">
        <v>72390</v>
      </c>
      <c r="N77" s="86" t="s">
        <v>121</v>
      </c>
      <c r="O77" s="87">
        <v>43466</v>
      </c>
      <c r="P77" s="91" t="s">
        <v>597</v>
      </c>
      <c r="Q77" s="84" t="s">
        <v>5</v>
      </c>
      <c r="R77" s="89" t="s">
        <v>753</v>
      </c>
      <c r="S77" s="90" t="s">
        <v>754</v>
      </c>
      <c r="T77" s="79"/>
      <c r="U77" s="79" t="s">
        <v>604</v>
      </c>
      <c r="V77" s="79"/>
      <c r="W77" s="79"/>
      <c r="X77" s="79"/>
      <c r="Y77" s="79" t="s">
        <v>756</v>
      </c>
      <c r="Z77" s="91"/>
      <c r="AA77" s="91"/>
      <c r="AB77" s="91"/>
      <c r="AC77" s="79"/>
      <c r="AD77" s="79"/>
      <c r="AE77" s="79"/>
      <c r="AF77" s="92"/>
      <c r="AG77" s="92"/>
      <c r="AH77" s="79"/>
      <c r="AI77" s="79" t="s">
        <v>554</v>
      </c>
      <c r="AJ77" s="92" t="s">
        <v>713</v>
      </c>
      <c r="AK77" s="79" t="s">
        <v>405</v>
      </c>
      <c r="AL77" s="79" t="s">
        <v>507</v>
      </c>
      <c r="AM77" s="92" t="s">
        <v>409</v>
      </c>
      <c r="AN77" s="92" t="s">
        <v>765</v>
      </c>
      <c r="AO77" s="92" t="s">
        <v>766</v>
      </c>
      <c r="AP77" s="93" t="s">
        <v>62</v>
      </c>
      <c r="AQ77" s="92" t="s">
        <v>1653</v>
      </c>
      <c r="AR77" s="92" t="s">
        <v>1654</v>
      </c>
      <c r="AS77" s="92" t="s">
        <v>1655</v>
      </c>
      <c r="AT77" s="79"/>
      <c r="AU77" s="79"/>
      <c r="AV77" s="92" t="e">
        <f>VLOOKUP(I77, Kiegészítő_Mátrix!C:E, 3, FALSE)</f>
        <v>#N/A</v>
      </c>
    </row>
    <row r="78" spans="1:48" ht="30" customHeight="1" x14ac:dyDescent="0.3">
      <c r="A78" s="79"/>
      <c r="B78" s="79" t="s">
        <v>365</v>
      </c>
      <c r="C78" s="79" t="s">
        <v>73</v>
      </c>
      <c r="D78" s="80" t="s">
        <v>118</v>
      </c>
      <c r="E78" s="81" t="s">
        <v>367</v>
      </c>
      <c r="F78" s="80"/>
      <c r="G78" s="80"/>
      <c r="H78" s="81" t="s">
        <v>731</v>
      </c>
      <c r="I78" s="80">
        <v>1133371</v>
      </c>
      <c r="J78" s="79" t="s">
        <v>161</v>
      </c>
      <c r="K78" s="79" t="s">
        <v>2158</v>
      </c>
      <c r="L78" s="84" t="s">
        <v>16</v>
      </c>
      <c r="M78" s="85">
        <v>72390</v>
      </c>
      <c r="N78" s="86" t="s">
        <v>121</v>
      </c>
      <c r="O78" s="87">
        <v>43466</v>
      </c>
      <c r="P78" s="91" t="s">
        <v>598</v>
      </c>
      <c r="Q78" s="84"/>
      <c r="R78" s="89" t="s">
        <v>753</v>
      </c>
      <c r="S78" s="90" t="s">
        <v>754</v>
      </c>
      <c r="T78" s="79"/>
      <c r="U78" s="79" t="s">
        <v>604</v>
      </c>
      <c r="V78" s="79"/>
      <c r="W78" s="79"/>
      <c r="X78" s="79"/>
      <c r="Y78" s="79" t="s">
        <v>757</v>
      </c>
      <c r="Z78" s="91"/>
      <c r="AA78" s="91"/>
      <c r="AB78" s="91"/>
      <c r="AC78" s="79"/>
      <c r="AD78" s="79"/>
      <c r="AE78" s="79"/>
      <c r="AF78" s="92"/>
      <c r="AG78" s="92"/>
      <c r="AH78" s="79"/>
      <c r="AI78" s="79" t="s">
        <v>554</v>
      </c>
      <c r="AJ78" s="92" t="s">
        <v>713</v>
      </c>
      <c r="AK78" s="79" t="s">
        <v>405</v>
      </c>
      <c r="AL78" s="79" t="s">
        <v>408</v>
      </c>
      <c r="AM78" s="92" t="s">
        <v>409</v>
      </c>
      <c r="AN78" s="92" t="s">
        <v>765</v>
      </c>
      <c r="AO78" s="92" t="s">
        <v>766</v>
      </c>
      <c r="AP78" s="93" t="s">
        <v>62</v>
      </c>
      <c r="AQ78" s="92" t="s">
        <v>1656</v>
      </c>
      <c r="AR78" s="92" t="s">
        <v>1657</v>
      </c>
      <c r="AS78" s="92" t="s">
        <v>1658</v>
      </c>
      <c r="AT78" s="79"/>
      <c r="AU78" s="79"/>
      <c r="AV78" s="92" t="e">
        <f>VLOOKUP(I78, Kiegészítő_Mátrix!C:E, 3, FALSE)</f>
        <v>#N/A</v>
      </c>
    </row>
    <row r="79" spans="1:48" ht="30" customHeight="1" x14ac:dyDescent="0.3">
      <c r="A79" s="79"/>
      <c r="B79" s="79" t="s">
        <v>365</v>
      </c>
      <c r="C79" s="79" t="s">
        <v>73</v>
      </c>
      <c r="D79" s="80" t="s">
        <v>118</v>
      </c>
      <c r="E79" s="81" t="s">
        <v>367</v>
      </c>
      <c r="F79" s="80"/>
      <c r="G79" s="80"/>
      <c r="H79" s="81" t="s">
        <v>731</v>
      </c>
      <c r="I79" s="80">
        <v>1133372</v>
      </c>
      <c r="J79" s="79" t="s">
        <v>162</v>
      </c>
      <c r="K79" s="79" t="s">
        <v>2158</v>
      </c>
      <c r="L79" s="84" t="s">
        <v>16</v>
      </c>
      <c r="M79" s="85">
        <v>72390</v>
      </c>
      <c r="N79" s="86" t="s">
        <v>121</v>
      </c>
      <c r="O79" s="87">
        <v>43466</v>
      </c>
      <c r="P79" s="91" t="s">
        <v>599</v>
      </c>
      <c r="Q79" s="84" t="s">
        <v>5</v>
      </c>
      <c r="R79" s="89" t="s">
        <v>753</v>
      </c>
      <c r="S79" s="90" t="s">
        <v>754</v>
      </c>
      <c r="T79" s="79"/>
      <c r="U79" s="79" t="s">
        <v>604</v>
      </c>
      <c r="V79" s="79"/>
      <c r="W79" s="79"/>
      <c r="X79" s="79"/>
      <c r="Y79" s="79" t="s">
        <v>758</v>
      </c>
      <c r="Z79" s="91"/>
      <c r="AA79" s="91"/>
      <c r="AB79" s="91"/>
      <c r="AC79" s="79"/>
      <c r="AD79" s="79"/>
      <c r="AE79" s="79"/>
      <c r="AF79" s="92"/>
      <c r="AG79" s="92"/>
      <c r="AH79" s="79"/>
      <c r="AI79" s="79" t="s">
        <v>554</v>
      </c>
      <c r="AJ79" s="92" t="s">
        <v>713</v>
      </c>
      <c r="AK79" s="79" t="s">
        <v>405</v>
      </c>
      <c r="AL79" s="79" t="s">
        <v>408</v>
      </c>
      <c r="AM79" s="92" t="s">
        <v>409</v>
      </c>
      <c r="AN79" s="92" t="s">
        <v>765</v>
      </c>
      <c r="AO79" s="92" t="s">
        <v>766</v>
      </c>
      <c r="AP79" s="93" t="s">
        <v>62</v>
      </c>
      <c r="AQ79" s="92" t="s">
        <v>1659</v>
      </c>
      <c r="AR79" s="92" t="s">
        <v>1660</v>
      </c>
      <c r="AS79" s="92" t="s">
        <v>1661</v>
      </c>
      <c r="AT79" s="79"/>
      <c r="AU79" s="79"/>
      <c r="AV79" s="92" t="e">
        <f>VLOOKUP(I79, Kiegészítő_Mátrix!C:E, 3, FALSE)</f>
        <v>#N/A</v>
      </c>
    </row>
    <row r="80" spans="1:48" ht="30" customHeight="1" x14ac:dyDescent="0.3">
      <c r="A80" s="79"/>
      <c r="B80" s="79" t="s">
        <v>365</v>
      </c>
      <c r="C80" s="79" t="s">
        <v>73</v>
      </c>
      <c r="D80" s="80" t="s">
        <v>118</v>
      </c>
      <c r="E80" s="81" t="s">
        <v>367</v>
      </c>
      <c r="F80" s="80"/>
      <c r="G80" s="80"/>
      <c r="H80" s="81" t="s">
        <v>731</v>
      </c>
      <c r="I80" s="80">
        <v>1133373</v>
      </c>
      <c r="J80" s="79" t="s">
        <v>755</v>
      </c>
      <c r="K80" s="79" t="s">
        <v>2158</v>
      </c>
      <c r="L80" s="84" t="s">
        <v>16</v>
      </c>
      <c r="M80" s="85">
        <v>72390</v>
      </c>
      <c r="N80" s="86" t="s">
        <v>121</v>
      </c>
      <c r="O80" s="87">
        <v>43466</v>
      </c>
      <c r="P80" s="91" t="s">
        <v>771</v>
      </c>
      <c r="Q80" s="84"/>
      <c r="R80" s="89" t="s">
        <v>753</v>
      </c>
      <c r="S80" s="90" t="s">
        <v>754</v>
      </c>
      <c r="T80" s="79"/>
      <c r="U80" s="79" t="s">
        <v>604</v>
      </c>
      <c r="V80" s="79"/>
      <c r="W80" s="79"/>
      <c r="X80" s="79"/>
      <c r="Y80" s="79" t="s">
        <v>759</v>
      </c>
      <c r="Z80" s="91"/>
      <c r="AA80" s="91"/>
      <c r="AB80" s="91"/>
      <c r="AC80" s="79"/>
      <c r="AD80" s="79"/>
      <c r="AE80" s="79"/>
      <c r="AF80" s="92"/>
      <c r="AG80" s="92"/>
      <c r="AH80" s="79"/>
      <c r="AI80" s="79" t="s">
        <v>554</v>
      </c>
      <c r="AJ80" s="92" t="s">
        <v>713</v>
      </c>
      <c r="AK80" s="79" t="s">
        <v>405</v>
      </c>
      <c r="AL80" s="79" t="s">
        <v>408</v>
      </c>
      <c r="AM80" s="92" t="s">
        <v>409</v>
      </c>
      <c r="AN80" s="92" t="s">
        <v>765</v>
      </c>
      <c r="AO80" s="92" t="s">
        <v>766</v>
      </c>
      <c r="AP80" s="93" t="s">
        <v>62</v>
      </c>
      <c r="AQ80" s="92" t="s">
        <v>1662</v>
      </c>
      <c r="AR80" s="92" t="s">
        <v>1663</v>
      </c>
      <c r="AS80" s="92" t="s">
        <v>1664</v>
      </c>
      <c r="AT80" s="79"/>
      <c r="AU80" s="79"/>
      <c r="AV80" s="92" t="e">
        <f>VLOOKUP(I80, Kiegészítő_Mátrix!C:E, 3, FALSE)</f>
        <v>#N/A</v>
      </c>
    </row>
    <row r="81" spans="1:48" ht="30" customHeight="1" x14ac:dyDescent="0.3">
      <c r="A81" s="79"/>
      <c r="B81" s="79" t="s">
        <v>365</v>
      </c>
      <c r="C81" s="79" t="s">
        <v>73</v>
      </c>
      <c r="D81" s="80" t="s">
        <v>572</v>
      </c>
      <c r="E81" s="81" t="s">
        <v>573</v>
      </c>
      <c r="F81" s="80"/>
      <c r="G81" s="128"/>
      <c r="H81" s="81" t="s">
        <v>767</v>
      </c>
      <c r="I81" s="80" t="s">
        <v>2142</v>
      </c>
      <c r="J81" s="79" t="s">
        <v>2129</v>
      </c>
      <c r="K81" s="79" t="s">
        <v>475</v>
      </c>
      <c r="L81" s="84" t="s">
        <v>4</v>
      </c>
      <c r="M81" s="85">
        <v>62865</v>
      </c>
      <c r="N81" s="86" t="s">
        <v>121</v>
      </c>
      <c r="O81" s="87">
        <v>41640</v>
      </c>
      <c r="P81" s="91" t="s">
        <v>597</v>
      </c>
      <c r="Q81" s="84" t="s">
        <v>5</v>
      </c>
      <c r="R81" s="89" t="s">
        <v>2127</v>
      </c>
      <c r="S81" s="90" t="s">
        <v>2128</v>
      </c>
      <c r="T81" s="79"/>
      <c r="U81" s="79" t="s">
        <v>604</v>
      </c>
      <c r="V81" s="79"/>
      <c r="W81" s="79"/>
      <c r="X81" s="79"/>
      <c r="Y81" s="79"/>
      <c r="Z81" s="91"/>
      <c r="AA81" s="91"/>
      <c r="AB81" s="91"/>
      <c r="AC81" s="79"/>
      <c r="AD81" s="79"/>
      <c r="AE81" s="79"/>
      <c r="AF81" s="92"/>
      <c r="AG81" s="92"/>
      <c r="AH81" s="79"/>
      <c r="AI81" s="79" t="s">
        <v>554</v>
      </c>
      <c r="AJ81" s="92" t="s">
        <v>770</v>
      </c>
      <c r="AK81" s="79" t="s">
        <v>408</v>
      </c>
      <c r="AL81" s="79" t="s">
        <v>408</v>
      </c>
      <c r="AM81" s="92" t="s">
        <v>409</v>
      </c>
      <c r="AN81" s="92" t="s">
        <v>768</v>
      </c>
      <c r="AO81" s="92" t="s">
        <v>769</v>
      </c>
      <c r="AP81" s="129" t="s">
        <v>129</v>
      </c>
      <c r="AQ81" s="92" t="s">
        <v>2130</v>
      </c>
      <c r="AR81" s="92" t="s">
        <v>2131</v>
      </c>
      <c r="AS81" s="92" t="s">
        <v>2132</v>
      </c>
      <c r="AT81" s="79"/>
      <c r="AU81" s="79"/>
      <c r="AV81" s="92" t="e">
        <f>VLOOKUP(I81, Kiegészítő_Mátrix!C:E, 3, FALSE)</f>
        <v>#N/A</v>
      </c>
    </row>
    <row r="82" spans="1:48" ht="30" customHeight="1" x14ac:dyDescent="0.3">
      <c r="A82" s="79"/>
      <c r="B82" s="79" t="s">
        <v>365</v>
      </c>
      <c r="C82" s="79" t="s">
        <v>73</v>
      </c>
      <c r="D82" s="80" t="s">
        <v>572</v>
      </c>
      <c r="E82" s="81" t="s">
        <v>573</v>
      </c>
      <c r="F82" s="98"/>
      <c r="G82" s="98"/>
      <c r="H82" s="81" t="s">
        <v>2133</v>
      </c>
      <c r="I82" s="80" t="s">
        <v>2134</v>
      </c>
      <c r="J82" s="79" t="s">
        <v>2135</v>
      </c>
      <c r="K82" s="79" t="s">
        <v>475</v>
      </c>
      <c r="L82" s="84" t="s">
        <v>16</v>
      </c>
      <c r="M82" s="85">
        <v>0</v>
      </c>
      <c r="N82" s="86">
        <v>0</v>
      </c>
      <c r="O82" s="87">
        <v>43344</v>
      </c>
      <c r="P82" s="91"/>
      <c r="Q82" s="84" t="s">
        <v>5</v>
      </c>
      <c r="R82" s="89" t="s">
        <v>2136</v>
      </c>
      <c r="S82" s="90" t="s">
        <v>2137</v>
      </c>
      <c r="T82" s="79"/>
      <c r="U82" s="79"/>
      <c r="V82" s="79"/>
      <c r="W82" s="79"/>
      <c r="X82" s="79"/>
      <c r="Y82" s="79"/>
      <c r="Z82" s="91"/>
      <c r="AA82" s="91"/>
      <c r="AB82" s="91"/>
      <c r="AC82" s="79"/>
      <c r="AD82" s="79"/>
      <c r="AE82" s="79"/>
      <c r="AF82" s="92"/>
      <c r="AG82" s="92"/>
      <c r="AH82" s="79"/>
      <c r="AI82" s="79"/>
      <c r="AJ82" s="92"/>
      <c r="AK82" s="79"/>
      <c r="AL82" s="79"/>
      <c r="AM82" s="92"/>
      <c r="AN82" s="92"/>
      <c r="AO82" s="92"/>
      <c r="AP82" s="92"/>
      <c r="AQ82" s="92" t="s">
        <v>2138</v>
      </c>
      <c r="AR82" s="92" t="s">
        <v>2139</v>
      </c>
      <c r="AS82" s="92" t="s">
        <v>2140</v>
      </c>
      <c r="AT82" s="79"/>
      <c r="AU82" s="79"/>
      <c r="AV82" s="92" t="e">
        <f>VLOOKUP(I82, Kiegészítő_Mátrix!C:E, 3, FALSE)</f>
        <v>#N/A</v>
      </c>
    </row>
    <row r="83" spans="1:48" ht="30" customHeight="1" x14ac:dyDescent="0.3">
      <c r="A83" s="79"/>
      <c r="B83" s="79" t="s">
        <v>365</v>
      </c>
      <c r="C83" s="79" t="s">
        <v>73</v>
      </c>
      <c r="D83" s="80" t="s">
        <v>572</v>
      </c>
      <c r="E83" s="81" t="s">
        <v>573</v>
      </c>
      <c r="F83" s="98"/>
      <c r="G83" s="98"/>
      <c r="H83" s="81" t="s">
        <v>574</v>
      </c>
      <c r="I83" s="80" t="s">
        <v>2143</v>
      </c>
      <c r="J83" s="79" t="s">
        <v>2149</v>
      </c>
      <c r="K83" s="79" t="s">
        <v>475</v>
      </c>
      <c r="L83" s="84" t="s">
        <v>16</v>
      </c>
      <c r="M83" s="85">
        <v>0</v>
      </c>
      <c r="N83" s="95">
        <v>0</v>
      </c>
      <c r="O83" s="96">
        <v>44440</v>
      </c>
      <c r="P83" s="88"/>
      <c r="Q83" s="84" t="s">
        <v>5</v>
      </c>
      <c r="R83" s="89" t="s">
        <v>2144</v>
      </c>
      <c r="S83" s="90" t="s">
        <v>2145</v>
      </c>
      <c r="T83" s="79"/>
      <c r="U83" s="79"/>
      <c r="V83" s="79"/>
      <c r="W83" s="79"/>
      <c r="X83" s="79"/>
      <c r="Y83" s="79"/>
      <c r="Z83" s="91"/>
      <c r="AA83" s="91"/>
      <c r="AB83" s="91"/>
      <c r="AC83" s="79"/>
      <c r="AD83" s="79"/>
      <c r="AE83" s="79"/>
      <c r="AF83" s="92"/>
      <c r="AG83" s="92"/>
      <c r="AH83" s="79"/>
      <c r="AI83" s="79"/>
      <c r="AJ83" s="92"/>
      <c r="AK83" s="79"/>
      <c r="AL83" s="79"/>
      <c r="AM83" s="92"/>
      <c r="AN83" s="92"/>
      <c r="AO83" s="92"/>
      <c r="AP83" s="92"/>
      <c r="AQ83" s="92" t="s">
        <v>2146</v>
      </c>
      <c r="AR83" s="92" t="s">
        <v>2147</v>
      </c>
      <c r="AS83" s="92" t="s">
        <v>2148</v>
      </c>
      <c r="AT83" s="79"/>
      <c r="AU83" s="79"/>
      <c r="AV83" s="92" t="e">
        <f>VLOOKUP(I83, Kiegészítő_Mátrix!C:E, 3, FALSE)</f>
        <v>#N/A</v>
      </c>
    </row>
    <row r="84" spans="1:48" ht="30" customHeight="1" x14ac:dyDescent="0.3">
      <c r="A84" s="79"/>
      <c r="B84" s="79" t="s">
        <v>365</v>
      </c>
      <c r="C84" s="79" t="s">
        <v>73</v>
      </c>
      <c r="D84" s="80" t="s">
        <v>572</v>
      </c>
      <c r="E84" s="81" t="s">
        <v>573</v>
      </c>
      <c r="F84" s="80"/>
      <c r="G84" s="128"/>
      <c r="H84" s="81" t="s">
        <v>574</v>
      </c>
      <c r="I84" s="80" t="s">
        <v>92</v>
      </c>
      <c r="J84" s="79" t="s">
        <v>93</v>
      </c>
      <c r="K84" s="79" t="s">
        <v>475</v>
      </c>
      <c r="L84" s="84" t="s">
        <v>16</v>
      </c>
      <c r="M84" s="85">
        <v>0</v>
      </c>
      <c r="N84" s="95">
        <v>0</v>
      </c>
      <c r="O84" s="96">
        <v>44440</v>
      </c>
      <c r="P84" s="88" t="s">
        <v>597</v>
      </c>
      <c r="Q84" s="84" t="s">
        <v>5</v>
      </c>
      <c r="R84" s="89" t="s">
        <v>582</v>
      </c>
      <c r="S84" s="90" t="s">
        <v>579</v>
      </c>
      <c r="T84" s="79"/>
      <c r="U84" s="79"/>
      <c r="V84" s="79"/>
      <c r="W84" s="79"/>
      <c r="X84" s="79"/>
      <c r="Y84" s="79"/>
      <c r="Z84" s="91"/>
      <c r="AA84" s="91"/>
      <c r="AB84" s="91"/>
      <c r="AC84" s="79"/>
      <c r="AD84" s="79"/>
      <c r="AE84" s="79"/>
      <c r="AF84" s="92"/>
      <c r="AG84" s="92"/>
      <c r="AH84" s="79"/>
      <c r="AI84" s="79"/>
      <c r="AJ84" s="92"/>
      <c r="AK84" s="79"/>
      <c r="AL84" s="79"/>
      <c r="AM84" s="92"/>
      <c r="AN84" s="92" t="s">
        <v>580</v>
      </c>
      <c r="AO84" s="92" t="s">
        <v>581</v>
      </c>
      <c r="AP84" s="124" t="s">
        <v>94</v>
      </c>
      <c r="AQ84" s="92" t="s">
        <v>1665</v>
      </c>
      <c r="AR84" s="92" t="s">
        <v>1666</v>
      </c>
      <c r="AS84" s="92" t="s">
        <v>1667</v>
      </c>
      <c r="AT84" s="79"/>
      <c r="AU84" s="79"/>
      <c r="AV84" s="92" t="e">
        <f>VLOOKUP(I84, Kiegészítő_Mátrix!C:E, 3, FALSE)</f>
        <v>#N/A</v>
      </c>
    </row>
    <row r="85" spans="1:48" ht="30" customHeight="1" x14ac:dyDescent="0.3">
      <c r="A85" s="79"/>
      <c r="B85" s="79" t="s">
        <v>365</v>
      </c>
      <c r="C85" s="79" t="s">
        <v>73</v>
      </c>
      <c r="D85" s="80" t="s">
        <v>572</v>
      </c>
      <c r="E85" s="81" t="s">
        <v>573</v>
      </c>
      <c r="F85" s="80"/>
      <c r="G85" s="128"/>
      <c r="H85" s="81" t="s">
        <v>574</v>
      </c>
      <c r="I85" s="80" t="s">
        <v>95</v>
      </c>
      <c r="J85" s="79" t="s">
        <v>96</v>
      </c>
      <c r="K85" s="79" t="s">
        <v>475</v>
      </c>
      <c r="L85" s="84" t="s">
        <v>16</v>
      </c>
      <c r="M85" s="85">
        <v>0</v>
      </c>
      <c r="N85" s="95">
        <v>0</v>
      </c>
      <c r="O85" s="96">
        <v>44440</v>
      </c>
      <c r="P85" s="88" t="s">
        <v>598</v>
      </c>
      <c r="Q85" s="84" t="s">
        <v>5</v>
      </c>
      <c r="R85" s="89" t="s">
        <v>582</v>
      </c>
      <c r="S85" s="90" t="s">
        <v>579</v>
      </c>
      <c r="T85" s="79"/>
      <c r="U85" s="79"/>
      <c r="V85" s="79"/>
      <c r="W85" s="79"/>
      <c r="X85" s="79"/>
      <c r="Y85" s="79"/>
      <c r="Z85" s="91"/>
      <c r="AA85" s="91"/>
      <c r="AB85" s="91"/>
      <c r="AC85" s="79"/>
      <c r="AD85" s="79"/>
      <c r="AE85" s="79"/>
      <c r="AF85" s="92"/>
      <c r="AG85" s="92"/>
      <c r="AH85" s="79"/>
      <c r="AI85" s="79"/>
      <c r="AJ85" s="92"/>
      <c r="AK85" s="79"/>
      <c r="AL85" s="79"/>
      <c r="AM85" s="92"/>
      <c r="AN85" s="92" t="s">
        <v>580</v>
      </c>
      <c r="AO85" s="92" t="s">
        <v>581</v>
      </c>
      <c r="AP85" s="124" t="s">
        <v>94</v>
      </c>
      <c r="AQ85" s="92" t="s">
        <v>1668</v>
      </c>
      <c r="AR85" s="92" t="s">
        <v>1669</v>
      </c>
      <c r="AS85" s="92" t="s">
        <v>1670</v>
      </c>
      <c r="AT85" s="79"/>
      <c r="AU85" s="79"/>
      <c r="AV85" s="92" t="e">
        <f>VLOOKUP(I85, Kiegészítő_Mátrix!C:E, 3, FALSE)</f>
        <v>#N/A</v>
      </c>
    </row>
    <row r="86" spans="1:48" ht="30" customHeight="1" x14ac:dyDescent="0.3">
      <c r="A86" s="79"/>
      <c r="B86" s="79" t="s">
        <v>365</v>
      </c>
      <c r="C86" s="79" t="s">
        <v>73</v>
      </c>
      <c r="D86" s="80" t="s">
        <v>572</v>
      </c>
      <c r="E86" s="81" t="s">
        <v>573</v>
      </c>
      <c r="F86" s="80"/>
      <c r="G86" s="128"/>
      <c r="H86" s="81" t="s">
        <v>574</v>
      </c>
      <c r="I86" s="80" t="s">
        <v>97</v>
      </c>
      <c r="J86" s="79" t="s">
        <v>98</v>
      </c>
      <c r="K86" s="79" t="s">
        <v>475</v>
      </c>
      <c r="L86" s="84" t="s">
        <v>16</v>
      </c>
      <c r="M86" s="85">
        <v>0</v>
      </c>
      <c r="N86" s="95">
        <v>0</v>
      </c>
      <c r="O86" s="96">
        <v>44440</v>
      </c>
      <c r="P86" s="88" t="s">
        <v>599</v>
      </c>
      <c r="Q86" s="84" t="s">
        <v>5</v>
      </c>
      <c r="R86" s="89" t="s">
        <v>582</v>
      </c>
      <c r="S86" s="90" t="s">
        <v>579</v>
      </c>
      <c r="T86" s="79"/>
      <c r="U86" s="79"/>
      <c r="V86" s="79"/>
      <c r="W86" s="79"/>
      <c r="X86" s="79"/>
      <c r="Y86" s="79"/>
      <c r="Z86" s="91"/>
      <c r="AA86" s="91"/>
      <c r="AB86" s="91"/>
      <c r="AC86" s="79"/>
      <c r="AD86" s="79"/>
      <c r="AE86" s="79"/>
      <c r="AF86" s="92"/>
      <c r="AG86" s="92"/>
      <c r="AH86" s="79"/>
      <c r="AI86" s="79"/>
      <c r="AJ86" s="92"/>
      <c r="AK86" s="79"/>
      <c r="AL86" s="79"/>
      <c r="AM86" s="92"/>
      <c r="AN86" s="92" t="s">
        <v>580</v>
      </c>
      <c r="AO86" s="92" t="s">
        <v>581</v>
      </c>
      <c r="AP86" s="124" t="s">
        <v>94</v>
      </c>
      <c r="AQ86" s="92" t="s">
        <v>1671</v>
      </c>
      <c r="AR86" s="92" t="s">
        <v>1672</v>
      </c>
      <c r="AS86" s="92" t="s">
        <v>1673</v>
      </c>
      <c r="AT86" s="79"/>
      <c r="AU86" s="79"/>
      <c r="AV86" s="92" t="e">
        <f>VLOOKUP(I86, Kiegészítő_Mátrix!C:E, 3, FALSE)</f>
        <v>#N/A</v>
      </c>
    </row>
    <row r="87" spans="1:48" ht="30" customHeight="1" x14ac:dyDescent="0.3">
      <c r="A87" s="79"/>
      <c r="B87" s="79" t="s">
        <v>365</v>
      </c>
      <c r="C87" s="79" t="s">
        <v>73</v>
      </c>
      <c r="D87" s="80" t="s">
        <v>572</v>
      </c>
      <c r="E87" s="81" t="s">
        <v>573</v>
      </c>
      <c r="F87" s="80"/>
      <c r="G87" s="128"/>
      <c r="H87" s="81" t="s">
        <v>574</v>
      </c>
      <c r="I87" s="80" t="s">
        <v>99</v>
      </c>
      <c r="J87" s="79" t="s">
        <v>100</v>
      </c>
      <c r="K87" s="79" t="s">
        <v>475</v>
      </c>
      <c r="L87" s="84" t="s">
        <v>16</v>
      </c>
      <c r="M87" s="85">
        <v>0</v>
      </c>
      <c r="N87" s="95">
        <v>0</v>
      </c>
      <c r="O87" s="96">
        <v>44440</v>
      </c>
      <c r="P87" s="88" t="s">
        <v>534</v>
      </c>
      <c r="Q87" s="84" t="s">
        <v>5</v>
      </c>
      <c r="R87" s="89" t="s">
        <v>582</v>
      </c>
      <c r="S87" s="90" t="s">
        <v>579</v>
      </c>
      <c r="T87" s="79"/>
      <c r="U87" s="79"/>
      <c r="V87" s="79"/>
      <c r="W87" s="79"/>
      <c r="X87" s="79"/>
      <c r="Y87" s="79"/>
      <c r="Z87" s="91"/>
      <c r="AA87" s="91"/>
      <c r="AB87" s="91"/>
      <c r="AC87" s="79"/>
      <c r="AD87" s="79"/>
      <c r="AE87" s="79"/>
      <c r="AF87" s="92"/>
      <c r="AG87" s="92"/>
      <c r="AH87" s="79"/>
      <c r="AI87" s="79"/>
      <c r="AJ87" s="92"/>
      <c r="AK87" s="79"/>
      <c r="AL87" s="79"/>
      <c r="AM87" s="92"/>
      <c r="AN87" s="92" t="s">
        <v>580</v>
      </c>
      <c r="AO87" s="92" t="s">
        <v>581</v>
      </c>
      <c r="AP87" s="124" t="s">
        <v>94</v>
      </c>
      <c r="AQ87" s="92" t="s">
        <v>1674</v>
      </c>
      <c r="AR87" s="92" t="s">
        <v>1675</v>
      </c>
      <c r="AS87" s="92" t="s">
        <v>1676</v>
      </c>
      <c r="AT87" s="79"/>
      <c r="AU87" s="79"/>
      <c r="AV87" s="92" t="e">
        <f>VLOOKUP(I87, Kiegészítő_Mátrix!C:E, 3, FALSE)</f>
        <v>#N/A</v>
      </c>
    </row>
    <row r="88" spans="1:48" ht="30" customHeight="1" x14ac:dyDescent="0.3">
      <c r="A88" s="79"/>
      <c r="B88" s="79" t="s">
        <v>365</v>
      </c>
      <c r="C88" s="79" t="s">
        <v>73</v>
      </c>
      <c r="D88" s="80" t="s">
        <v>572</v>
      </c>
      <c r="E88" s="81" t="s">
        <v>573</v>
      </c>
      <c r="F88" s="80"/>
      <c r="G88" s="128"/>
      <c r="H88" s="81" t="s">
        <v>575</v>
      </c>
      <c r="I88" s="80">
        <v>1105161</v>
      </c>
      <c r="J88" s="79" t="s">
        <v>2141</v>
      </c>
      <c r="K88" s="79" t="s">
        <v>475</v>
      </c>
      <c r="L88" s="84" t="s">
        <v>16</v>
      </c>
      <c r="M88" s="85">
        <v>0</v>
      </c>
      <c r="N88" s="86">
        <v>0</v>
      </c>
      <c r="O88" s="87" t="s">
        <v>2150</v>
      </c>
      <c r="P88" s="91"/>
      <c r="Q88" s="84" t="s">
        <v>5</v>
      </c>
      <c r="R88" s="89" t="s">
        <v>583</v>
      </c>
      <c r="S88" s="90" t="s">
        <v>586</v>
      </c>
      <c r="T88" s="79"/>
      <c r="U88" s="79"/>
      <c r="V88" s="79"/>
      <c r="W88" s="79"/>
      <c r="X88" s="79"/>
      <c r="Y88" s="79"/>
      <c r="Z88" s="91"/>
      <c r="AA88" s="91"/>
      <c r="AB88" s="91"/>
      <c r="AC88" s="79"/>
      <c r="AD88" s="79"/>
      <c r="AE88" s="79"/>
      <c r="AF88" s="92"/>
      <c r="AG88" s="92"/>
      <c r="AH88" s="79"/>
      <c r="AI88" s="79"/>
      <c r="AJ88" s="92"/>
      <c r="AK88" s="79"/>
      <c r="AL88" s="79"/>
      <c r="AM88" s="92"/>
      <c r="AN88" s="92" t="s">
        <v>584</v>
      </c>
      <c r="AO88" s="92" t="s">
        <v>585</v>
      </c>
      <c r="AP88" s="92"/>
      <c r="AQ88" s="92" t="s">
        <v>1677</v>
      </c>
      <c r="AR88" s="92" t="s">
        <v>1678</v>
      </c>
      <c r="AS88" s="92" t="s">
        <v>1679</v>
      </c>
      <c r="AT88" s="79"/>
      <c r="AU88" s="79"/>
      <c r="AV88" s="92" t="e">
        <f>VLOOKUP(I88, Kiegészítő_Mátrix!C:E, 3, FALSE)</f>
        <v>#N/A</v>
      </c>
    </row>
    <row r="89" spans="1:48" ht="30" customHeight="1" x14ac:dyDescent="0.3">
      <c r="A89" s="79"/>
      <c r="B89" s="79" t="s">
        <v>365</v>
      </c>
      <c r="C89" s="79" t="s">
        <v>73</v>
      </c>
      <c r="D89" s="80" t="s">
        <v>572</v>
      </c>
      <c r="E89" s="81" t="s">
        <v>573</v>
      </c>
      <c r="F89" s="80"/>
      <c r="G89" s="128"/>
      <c r="H89" s="81" t="s">
        <v>576</v>
      </c>
      <c r="I89" s="80" t="s">
        <v>577</v>
      </c>
      <c r="J89" s="79" t="s">
        <v>578</v>
      </c>
      <c r="K89" s="79" t="s">
        <v>475</v>
      </c>
      <c r="L89" s="84" t="s">
        <v>16</v>
      </c>
      <c r="M89" s="85">
        <v>0</v>
      </c>
      <c r="N89" s="86">
        <v>0</v>
      </c>
      <c r="O89" s="87">
        <v>41153</v>
      </c>
      <c r="P89" s="91"/>
      <c r="Q89" s="84" t="s">
        <v>5</v>
      </c>
      <c r="R89" s="89" t="s">
        <v>587</v>
      </c>
      <c r="S89" s="90" t="s">
        <v>588</v>
      </c>
      <c r="T89" s="79"/>
      <c r="U89" s="79"/>
      <c r="V89" s="79"/>
      <c r="W89" s="79"/>
      <c r="X89" s="79"/>
      <c r="Y89" s="79"/>
      <c r="Z89" s="91"/>
      <c r="AA89" s="91"/>
      <c r="AB89" s="91"/>
      <c r="AC89" s="79"/>
      <c r="AD89" s="79"/>
      <c r="AE89" s="79"/>
      <c r="AF89" s="92"/>
      <c r="AG89" s="92"/>
      <c r="AH89" s="79"/>
      <c r="AI89" s="79"/>
      <c r="AJ89" s="92"/>
      <c r="AK89" s="79"/>
      <c r="AL89" s="79"/>
      <c r="AM89" s="92"/>
      <c r="AN89" s="92" t="s">
        <v>590</v>
      </c>
      <c r="AO89" s="92" t="s">
        <v>589</v>
      </c>
      <c r="AP89" s="92"/>
      <c r="AQ89" s="92" t="s">
        <v>1680</v>
      </c>
      <c r="AR89" s="92" t="s">
        <v>1681</v>
      </c>
      <c r="AS89" s="92" t="s">
        <v>1682</v>
      </c>
      <c r="AT89" s="79"/>
      <c r="AU89" s="79"/>
      <c r="AV89" s="92" t="e">
        <f>VLOOKUP(I89, Kiegészítő_Mátrix!C:E, 3, FALSE)</f>
        <v>#N/A</v>
      </c>
    </row>
    <row r="90" spans="1:48" x14ac:dyDescent="0.3">
      <c r="A90" s="79"/>
      <c r="B90" s="79"/>
      <c r="C90" s="79"/>
      <c r="D90" s="80"/>
      <c r="E90" s="81"/>
      <c r="F90" s="80"/>
      <c r="G90" s="80"/>
      <c r="H90" s="81"/>
      <c r="I90" s="83"/>
      <c r="J90" s="79"/>
      <c r="K90" s="79"/>
      <c r="L90" s="84"/>
      <c r="M90" s="85"/>
      <c r="N90" s="86"/>
      <c r="O90" s="87"/>
      <c r="P90" s="91"/>
      <c r="Q90" s="84"/>
      <c r="R90" s="89"/>
      <c r="S90" s="90"/>
      <c r="T90" s="79"/>
      <c r="U90" s="79"/>
      <c r="V90" s="79"/>
      <c r="W90" s="79"/>
      <c r="X90" s="79"/>
      <c r="Y90" s="79"/>
      <c r="Z90" s="91"/>
      <c r="AA90" s="91"/>
      <c r="AB90" s="91"/>
      <c r="AC90" s="79"/>
      <c r="AD90" s="79"/>
      <c r="AE90" s="79"/>
      <c r="AF90" s="92"/>
      <c r="AG90" s="92"/>
      <c r="AH90" s="79"/>
      <c r="AI90" s="79"/>
      <c r="AJ90" s="92"/>
      <c r="AK90" s="79"/>
      <c r="AL90" s="79"/>
      <c r="AM90" s="92"/>
      <c r="AN90" s="92"/>
      <c r="AO90" s="92"/>
      <c r="AP90" s="92"/>
      <c r="AQ90" s="92"/>
      <c r="AR90" s="92"/>
      <c r="AS90" s="92"/>
      <c r="AT90" s="79"/>
      <c r="AU90" s="79"/>
      <c r="AV90" s="92" t="e">
        <f>VLOOKUP(I90, Kiegészítő_Mátrix!C:E, 3, FALSE)</f>
        <v>#N/A</v>
      </c>
    </row>
    <row r="91" spans="1:48" ht="30" customHeight="1" x14ac:dyDescent="0.3">
      <c r="A91" s="79"/>
      <c r="B91" s="79" t="s">
        <v>368</v>
      </c>
      <c r="C91" s="79" t="s">
        <v>163</v>
      </c>
      <c r="D91" s="80" t="s">
        <v>164</v>
      </c>
      <c r="E91" s="81" t="s">
        <v>369</v>
      </c>
      <c r="F91" s="80" t="s">
        <v>772</v>
      </c>
      <c r="G91" s="128" t="s">
        <v>182</v>
      </c>
      <c r="H91" s="81" t="s">
        <v>779</v>
      </c>
      <c r="I91" s="80" t="s">
        <v>2151</v>
      </c>
      <c r="J91" s="79" t="s">
        <v>2152</v>
      </c>
      <c r="K91" s="79" t="s">
        <v>2158</v>
      </c>
      <c r="L91" s="84" t="s">
        <v>4</v>
      </c>
      <c r="M91" s="85">
        <v>1500</v>
      </c>
      <c r="N91" s="95" t="s">
        <v>17</v>
      </c>
      <c r="O91" s="96">
        <v>46235</v>
      </c>
      <c r="P91" s="88"/>
      <c r="Q91" s="84" t="s">
        <v>17</v>
      </c>
      <c r="R91" s="89" t="s">
        <v>2174</v>
      </c>
      <c r="S91" s="130" t="s">
        <v>2175</v>
      </c>
      <c r="T91" s="79"/>
      <c r="U91" s="79"/>
      <c r="V91" s="79"/>
      <c r="W91" s="79"/>
      <c r="X91" s="79"/>
      <c r="Y91" s="79"/>
      <c r="Z91" s="91"/>
      <c r="AA91" s="91"/>
      <c r="AB91" s="91"/>
      <c r="AC91" s="79"/>
      <c r="AD91" s="79"/>
      <c r="AE91" s="79"/>
      <c r="AF91" s="92"/>
      <c r="AG91" s="92"/>
      <c r="AH91" s="79"/>
      <c r="AI91" s="79"/>
      <c r="AJ91" s="92"/>
      <c r="AK91" s="79"/>
      <c r="AL91" s="79"/>
      <c r="AM91" s="92"/>
      <c r="AN91" s="92"/>
      <c r="AO91" s="92"/>
      <c r="AP91" s="92"/>
      <c r="AQ91" s="92" t="s">
        <v>2176</v>
      </c>
      <c r="AR91" s="92" t="s">
        <v>2177</v>
      </c>
      <c r="AS91" s="92" t="s">
        <v>2178</v>
      </c>
      <c r="AT91" s="79"/>
      <c r="AU91" s="79"/>
      <c r="AV91" s="92" t="e">
        <f>VLOOKUP(I91, Kiegészítő_Mátrix!C:E, 3, FALSE)</f>
        <v>#N/A</v>
      </c>
    </row>
    <row r="92" spans="1:48" ht="30" customHeight="1" x14ac:dyDescent="0.3">
      <c r="A92" s="79"/>
      <c r="B92" s="79" t="s">
        <v>368</v>
      </c>
      <c r="C92" s="79" t="s">
        <v>163</v>
      </c>
      <c r="D92" s="80" t="s">
        <v>164</v>
      </c>
      <c r="E92" s="81" t="s">
        <v>369</v>
      </c>
      <c r="F92" s="80" t="s">
        <v>772</v>
      </c>
      <c r="G92" s="128" t="s">
        <v>182</v>
      </c>
      <c r="H92" s="81" t="s">
        <v>779</v>
      </c>
      <c r="I92" s="80" t="s">
        <v>1242</v>
      </c>
      <c r="J92" s="79" t="s">
        <v>182</v>
      </c>
      <c r="K92" s="79" t="s">
        <v>2158</v>
      </c>
      <c r="L92" s="84" t="s">
        <v>16</v>
      </c>
      <c r="M92" s="85">
        <v>1500</v>
      </c>
      <c r="N92" s="95" t="s">
        <v>17</v>
      </c>
      <c r="O92" s="96">
        <v>44927</v>
      </c>
      <c r="P92" s="88"/>
      <c r="Q92" s="84" t="s">
        <v>5</v>
      </c>
      <c r="R92" s="89" t="s">
        <v>780</v>
      </c>
      <c r="S92" s="130" t="s">
        <v>861</v>
      </c>
      <c r="T92" s="79"/>
      <c r="U92" s="79"/>
      <c r="V92" s="79"/>
      <c r="W92" s="79"/>
      <c r="X92" s="79" t="s">
        <v>781</v>
      </c>
      <c r="Y92" s="79"/>
      <c r="Z92" s="91"/>
      <c r="AA92" s="91"/>
      <c r="AB92" s="91"/>
      <c r="AC92" s="79"/>
      <c r="AD92" s="79"/>
      <c r="AE92" s="79"/>
      <c r="AF92" s="92"/>
      <c r="AG92" s="92"/>
      <c r="AH92" s="79"/>
      <c r="AI92" s="79"/>
      <c r="AJ92" s="92" t="s">
        <v>866</v>
      </c>
      <c r="AK92" s="79"/>
      <c r="AL92" s="79"/>
      <c r="AM92" s="92"/>
      <c r="AN92" s="92" t="s">
        <v>873</v>
      </c>
      <c r="AO92" s="92" t="s">
        <v>876</v>
      </c>
      <c r="AP92" s="92"/>
      <c r="AQ92" s="92" t="s">
        <v>1719</v>
      </c>
      <c r="AR92" s="92" t="s">
        <v>1724</v>
      </c>
      <c r="AS92" s="92" t="s">
        <v>1725</v>
      </c>
      <c r="AT92" s="79"/>
      <c r="AU92" s="79"/>
      <c r="AV92" s="92" t="str">
        <f>VLOOKUP(I92, Kiegészítő_Mátrix!C:E, 3, FALSE)</f>
        <v>Prisma kiegészítők;Dreamstation1 kiegészítők;Dreamstation2 kiegészítők;Somnobalance kiegészítők;Régebbi Philips modellek tartozékai</v>
      </c>
    </row>
    <row r="93" spans="1:48" ht="30" customHeight="1" x14ac:dyDescent="0.3">
      <c r="A93" s="79"/>
      <c r="B93" s="79" t="s">
        <v>368</v>
      </c>
      <c r="C93" s="79" t="s">
        <v>163</v>
      </c>
      <c r="D93" s="80" t="s">
        <v>164</v>
      </c>
      <c r="E93" s="81" t="s">
        <v>369</v>
      </c>
      <c r="F93" s="80" t="s">
        <v>772</v>
      </c>
      <c r="G93" s="128" t="s">
        <v>182</v>
      </c>
      <c r="H93" s="81" t="s">
        <v>779</v>
      </c>
      <c r="I93" s="131" t="s">
        <v>1410</v>
      </c>
      <c r="J93" s="126" t="s">
        <v>1411</v>
      </c>
      <c r="K93" s="126" t="s">
        <v>2159</v>
      </c>
      <c r="L93" s="84" t="s">
        <v>16</v>
      </c>
      <c r="M93" s="85">
        <v>1500</v>
      </c>
      <c r="N93" s="95" t="s">
        <v>17</v>
      </c>
      <c r="O93" s="96">
        <v>40528</v>
      </c>
      <c r="P93" s="88"/>
      <c r="Q93" s="84"/>
      <c r="R93" s="89"/>
      <c r="S93" s="130"/>
      <c r="T93" s="79"/>
      <c r="U93" s="79"/>
      <c r="V93" s="79"/>
      <c r="W93" s="79"/>
      <c r="X93" s="79"/>
      <c r="Y93" s="79"/>
      <c r="Z93" s="91"/>
      <c r="AA93" s="91"/>
      <c r="AB93" s="91"/>
      <c r="AC93" s="79"/>
      <c r="AD93" s="79"/>
      <c r="AE93" s="79"/>
      <c r="AF93" s="92"/>
      <c r="AG93" s="92"/>
      <c r="AH93" s="79"/>
      <c r="AI93" s="79"/>
      <c r="AJ93" s="92"/>
      <c r="AK93" s="79"/>
      <c r="AL93" s="79"/>
      <c r="AM93" s="92"/>
      <c r="AN93" s="92"/>
      <c r="AO93" s="92"/>
      <c r="AP93" s="92"/>
      <c r="AQ93" s="92"/>
      <c r="AR93" s="92"/>
      <c r="AS93" s="92"/>
      <c r="AT93" s="79"/>
      <c r="AU93" s="79"/>
      <c r="AV93" s="92" t="e">
        <f>VLOOKUP(I93, Kiegészítő_Mátrix!C:E, 3, FALSE)</f>
        <v>#N/A</v>
      </c>
    </row>
    <row r="94" spans="1:48" ht="30" customHeight="1" x14ac:dyDescent="0.3">
      <c r="A94" s="79"/>
      <c r="B94" s="79" t="s">
        <v>368</v>
      </c>
      <c r="C94" s="128" t="s">
        <v>163</v>
      </c>
      <c r="D94" s="80" t="s">
        <v>164</v>
      </c>
      <c r="E94" s="81" t="s">
        <v>369</v>
      </c>
      <c r="F94" s="80" t="s">
        <v>777</v>
      </c>
      <c r="G94" s="128" t="s">
        <v>773</v>
      </c>
      <c r="H94" s="81" t="s">
        <v>782</v>
      </c>
      <c r="I94" s="80" t="s">
        <v>165</v>
      </c>
      <c r="J94" s="79" t="s">
        <v>166</v>
      </c>
      <c r="K94" s="79" t="s">
        <v>2158</v>
      </c>
      <c r="L94" s="84" t="s">
        <v>4</v>
      </c>
      <c r="M94" s="85">
        <v>3048</v>
      </c>
      <c r="N94" s="95" t="s">
        <v>17</v>
      </c>
      <c r="O94" s="96">
        <v>44136</v>
      </c>
      <c r="P94" s="88"/>
      <c r="Q94" s="84" t="s">
        <v>5</v>
      </c>
      <c r="R94" s="89" t="s">
        <v>843</v>
      </c>
      <c r="S94" s="90" t="s">
        <v>846</v>
      </c>
      <c r="T94" s="79"/>
      <c r="U94" s="79"/>
      <c r="V94" s="79"/>
      <c r="W94" s="79"/>
      <c r="X94" s="79"/>
      <c r="Y94" s="79"/>
      <c r="Z94" s="91"/>
      <c r="AA94" s="91"/>
      <c r="AB94" s="91"/>
      <c r="AC94" s="79"/>
      <c r="AD94" s="79"/>
      <c r="AE94" s="79"/>
      <c r="AF94" s="92"/>
      <c r="AG94" s="92"/>
      <c r="AH94" s="79"/>
      <c r="AI94" s="79"/>
      <c r="AJ94" s="92" t="s">
        <v>866</v>
      </c>
      <c r="AK94" s="79"/>
      <c r="AL94" s="79"/>
      <c r="AM94" s="92"/>
      <c r="AN94" s="92" t="s">
        <v>874</v>
      </c>
      <c r="AO94" s="92" t="s">
        <v>875</v>
      </c>
      <c r="AP94" s="92"/>
      <c r="AQ94" s="92" t="s">
        <v>1683</v>
      </c>
      <c r="AR94" s="92" t="s">
        <v>1684</v>
      </c>
      <c r="AS94" s="92" t="s">
        <v>1685</v>
      </c>
      <c r="AT94" s="79"/>
      <c r="AU94" s="79"/>
      <c r="AV94" s="92" t="str">
        <f>VLOOKUP(I94, Kiegészítő_Mátrix!C:E, 3, FALSE)</f>
        <v>Prisma kiegészítők</v>
      </c>
    </row>
    <row r="95" spans="1:48" ht="30" customHeight="1" x14ac:dyDescent="0.3">
      <c r="A95" s="79"/>
      <c r="B95" s="79" t="s">
        <v>368</v>
      </c>
      <c r="C95" s="79" t="s">
        <v>163</v>
      </c>
      <c r="D95" s="80" t="s">
        <v>164</v>
      </c>
      <c r="E95" s="81" t="s">
        <v>369</v>
      </c>
      <c r="F95" s="80" t="s">
        <v>777</v>
      </c>
      <c r="G95" s="128" t="s">
        <v>773</v>
      </c>
      <c r="H95" s="81" t="s">
        <v>783</v>
      </c>
      <c r="I95" s="80" t="s">
        <v>171</v>
      </c>
      <c r="J95" s="79" t="s">
        <v>172</v>
      </c>
      <c r="K95" s="79" t="s">
        <v>2158</v>
      </c>
      <c r="L95" s="84" t="s">
        <v>4</v>
      </c>
      <c r="M95" s="85">
        <v>11430</v>
      </c>
      <c r="N95" s="95" t="s">
        <v>17</v>
      </c>
      <c r="O95" s="96">
        <v>45474</v>
      </c>
      <c r="P95" s="88"/>
      <c r="Q95" s="84" t="s">
        <v>5</v>
      </c>
      <c r="R95" s="89" t="s">
        <v>844</v>
      </c>
      <c r="S95" s="90" t="s">
        <v>845</v>
      </c>
      <c r="T95" s="79"/>
      <c r="U95" s="79"/>
      <c r="V95" s="79"/>
      <c r="W95" s="79"/>
      <c r="X95" s="79"/>
      <c r="Y95" s="79"/>
      <c r="Z95" s="91"/>
      <c r="AA95" s="91"/>
      <c r="AB95" s="91"/>
      <c r="AC95" s="79"/>
      <c r="AD95" s="79"/>
      <c r="AE95" s="79"/>
      <c r="AF95" s="92"/>
      <c r="AG95" s="92"/>
      <c r="AH95" s="79"/>
      <c r="AI95" s="79"/>
      <c r="AJ95" s="92" t="s">
        <v>868</v>
      </c>
      <c r="AK95" s="79"/>
      <c r="AL95" s="79"/>
      <c r="AM95" s="92"/>
      <c r="AN95" s="92" t="s">
        <v>874</v>
      </c>
      <c r="AO95" s="92" t="s">
        <v>875</v>
      </c>
      <c r="AP95" s="92"/>
      <c r="AQ95" s="92" t="s">
        <v>1686</v>
      </c>
      <c r="AR95" s="92" t="s">
        <v>1687</v>
      </c>
      <c r="AS95" s="92" t="s">
        <v>1688</v>
      </c>
      <c r="AT95" s="79"/>
      <c r="AU95" s="79"/>
      <c r="AV95" s="92" t="str">
        <f>VLOOKUP(I95, Kiegészítő_Mátrix!C:E, 3, FALSE)</f>
        <v>Prisma kiegészítők</v>
      </c>
    </row>
    <row r="96" spans="1:48" ht="30" customHeight="1" x14ac:dyDescent="0.3">
      <c r="A96" s="79"/>
      <c r="B96" s="79" t="s">
        <v>368</v>
      </c>
      <c r="C96" s="79" t="s">
        <v>163</v>
      </c>
      <c r="D96" s="80" t="s">
        <v>164</v>
      </c>
      <c r="E96" s="81" t="s">
        <v>369</v>
      </c>
      <c r="F96" s="80" t="s">
        <v>777</v>
      </c>
      <c r="G96" s="128" t="s">
        <v>773</v>
      </c>
      <c r="H96" s="81" t="s">
        <v>842</v>
      </c>
      <c r="I96" s="80" t="s">
        <v>173</v>
      </c>
      <c r="J96" s="79" t="s">
        <v>174</v>
      </c>
      <c r="K96" s="126" t="s">
        <v>2159</v>
      </c>
      <c r="L96" s="84" t="s">
        <v>4</v>
      </c>
      <c r="M96" s="85">
        <v>6350</v>
      </c>
      <c r="N96" s="95" t="s">
        <v>17</v>
      </c>
      <c r="O96" s="96">
        <v>45474</v>
      </c>
      <c r="P96" s="88"/>
      <c r="Q96" s="84" t="s">
        <v>5</v>
      </c>
      <c r="R96" s="89"/>
      <c r="S96" s="90"/>
      <c r="T96" s="79"/>
      <c r="U96" s="79"/>
      <c r="V96" s="79"/>
      <c r="W96" s="79"/>
      <c r="X96" s="79"/>
      <c r="Y96" s="79"/>
      <c r="Z96" s="91"/>
      <c r="AA96" s="91"/>
      <c r="AB96" s="91"/>
      <c r="AC96" s="79"/>
      <c r="AD96" s="79"/>
      <c r="AE96" s="79"/>
      <c r="AF96" s="92"/>
      <c r="AG96" s="92"/>
      <c r="AH96" s="79"/>
      <c r="AI96" s="79"/>
      <c r="AJ96" s="92"/>
      <c r="AK96" s="79"/>
      <c r="AL96" s="79"/>
      <c r="AM96" s="92"/>
      <c r="AN96" s="92"/>
      <c r="AO96" s="92"/>
      <c r="AP96" s="92"/>
      <c r="AQ96" s="92"/>
      <c r="AR96" s="92"/>
      <c r="AS96" s="92"/>
      <c r="AT96" s="79"/>
      <c r="AU96" s="79"/>
      <c r="AV96" s="92" t="e">
        <f>VLOOKUP(I96, Kiegészítő_Mátrix!C:E, 3, FALSE)</f>
        <v>#N/A</v>
      </c>
    </row>
    <row r="97" spans="1:48" ht="30" customHeight="1" x14ac:dyDescent="0.3">
      <c r="A97" s="79"/>
      <c r="B97" s="79" t="s">
        <v>368</v>
      </c>
      <c r="C97" s="79" t="s">
        <v>163</v>
      </c>
      <c r="D97" s="80" t="s">
        <v>164</v>
      </c>
      <c r="E97" s="81" t="s">
        <v>369</v>
      </c>
      <c r="F97" s="80" t="s">
        <v>777</v>
      </c>
      <c r="G97" s="128" t="s">
        <v>773</v>
      </c>
      <c r="H97" s="81" t="s">
        <v>785</v>
      </c>
      <c r="I97" s="80" t="s">
        <v>167</v>
      </c>
      <c r="J97" s="79" t="s">
        <v>168</v>
      </c>
      <c r="K97" s="79" t="s">
        <v>2158</v>
      </c>
      <c r="L97" s="84" t="s">
        <v>4</v>
      </c>
      <c r="M97" s="85">
        <v>3048</v>
      </c>
      <c r="N97" s="95" t="s">
        <v>17</v>
      </c>
      <c r="O97" s="96">
        <v>42186</v>
      </c>
      <c r="P97" s="88"/>
      <c r="Q97" s="84" t="s">
        <v>5</v>
      </c>
      <c r="R97" s="89" t="s">
        <v>847</v>
      </c>
      <c r="S97" s="90" t="s">
        <v>859</v>
      </c>
      <c r="T97" s="79"/>
      <c r="U97" s="79"/>
      <c r="V97" s="79"/>
      <c r="W97" s="79"/>
      <c r="X97" s="79"/>
      <c r="Y97" s="79"/>
      <c r="Z97" s="91"/>
      <c r="AA97" s="91"/>
      <c r="AB97" s="91"/>
      <c r="AC97" s="79"/>
      <c r="AD97" s="79"/>
      <c r="AE97" s="79"/>
      <c r="AF97" s="92"/>
      <c r="AG97" s="92"/>
      <c r="AH97" s="79"/>
      <c r="AI97" s="79"/>
      <c r="AJ97" s="92" t="s">
        <v>866</v>
      </c>
      <c r="AK97" s="79"/>
      <c r="AL97" s="79"/>
      <c r="AM97" s="92"/>
      <c r="AN97" s="92" t="s">
        <v>877</v>
      </c>
      <c r="AO97" s="92" t="s">
        <v>517</v>
      </c>
      <c r="AP97" s="92"/>
      <c r="AQ97" s="92" t="s">
        <v>1689</v>
      </c>
      <c r="AR97" s="92" t="s">
        <v>1690</v>
      </c>
      <c r="AS97" s="92" t="s">
        <v>1691</v>
      </c>
      <c r="AT97" s="79"/>
      <c r="AU97" s="79"/>
      <c r="AV97" s="92" t="str">
        <f>VLOOKUP(I97, Kiegészítő_Mátrix!C:E, 3, FALSE)</f>
        <v>Somnobalance kiegészítők</v>
      </c>
    </row>
    <row r="98" spans="1:48" ht="30" customHeight="1" x14ac:dyDescent="0.3">
      <c r="A98" s="79"/>
      <c r="B98" s="79" t="s">
        <v>368</v>
      </c>
      <c r="C98" s="79" t="s">
        <v>163</v>
      </c>
      <c r="D98" s="80" t="s">
        <v>164</v>
      </c>
      <c r="E98" s="81" t="s">
        <v>369</v>
      </c>
      <c r="F98" s="80" t="s">
        <v>777</v>
      </c>
      <c r="G98" s="128" t="s">
        <v>773</v>
      </c>
      <c r="H98" s="81" t="s">
        <v>786</v>
      </c>
      <c r="I98" s="80" t="s">
        <v>2153</v>
      </c>
      <c r="J98" s="79" t="s">
        <v>176</v>
      </c>
      <c r="K98" s="79" t="s">
        <v>2158</v>
      </c>
      <c r="L98" s="84" t="s">
        <v>4</v>
      </c>
      <c r="M98" s="85">
        <v>11430</v>
      </c>
      <c r="N98" s="95" t="s">
        <v>17</v>
      </c>
      <c r="O98" s="96">
        <v>45474</v>
      </c>
      <c r="P98" s="88"/>
      <c r="Q98" s="84" t="s">
        <v>5</v>
      </c>
      <c r="R98" s="89" t="s">
        <v>848</v>
      </c>
      <c r="S98" s="90" t="s">
        <v>860</v>
      </c>
      <c r="T98" s="79"/>
      <c r="U98" s="79"/>
      <c r="V98" s="79"/>
      <c r="W98" s="79"/>
      <c r="X98" s="79"/>
      <c r="Y98" s="79"/>
      <c r="Z98" s="91"/>
      <c r="AA98" s="91"/>
      <c r="AB98" s="91"/>
      <c r="AC98" s="79"/>
      <c r="AD98" s="79"/>
      <c r="AE98" s="79"/>
      <c r="AF98" s="92"/>
      <c r="AG98" s="92"/>
      <c r="AH98" s="79"/>
      <c r="AI98" s="79"/>
      <c r="AJ98" s="92" t="s">
        <v>868</v>
      </c>
      <c r="AK98" s="79"/>
      <c r="AL98" s="79"/>
      <c r="AM98" s="92"/>
      <c r="AN98" s="92" t="s">
        <v>877</v>
      </c>
      <c r="AO98" s="92" t="s">
        <v>517</v>
      </c>
      <c r="AP98" s="92"/>
      <c r="AQ98" s="92" t="s">
        <v>1692</v>
      </c>
      <c r="AR98" s="92" t="s">
        <v>1693</v>
      </c>
      <c r="AS98" s="92" t="s">
        <v>1694</v>
      </c>
      <c r="AT98" s="79"/>
      <c r="AU98" s="79"/>
      <c r="AV98" s="92" t="e">
        <f>VLOOKUP(I98, Kiegészítő_Mátrix!C:E, 3, FALSE)</f>
        <v>#N/A</v>
      </c>
    </row>
    <row r="99" spans="1:48" ht="30" customHeight="1" x14ac:dyDescent="0.3">
      <c r="A99" s="79"/>
      <c r="B99" s="79" t="s">
        <v>368</v>
      </c>
      <c r="C99" s="79" t="s">
        <v>163</v>
      </c>
      <c r="D99" s="80" t="s">
        <v>164</v>
      </c>
      <c r="E99" s="81" t="s">
        <v>369</v>
      </c>
      <c r="F99" s="80" t="s">
        <v>777</v>
      </c>
      <c r="G99" s="128" t="s">
        <v>773</v>
      </c>
      <c r="H99" s="81" t="s">
        <v>786</v>
      </c>
      <c r="I99" s="80" t="s">
        <v>177</v>
      </c>
      <c r="J99" s="79" t="s">
        <v>178</v>
      </c>
      <c r="K99" s="126" t="s">
        <v>2159</v>
      </c>
      <c r="L99" s="84" t="s">
        <v>4</v>
      </c>
      <c r="M99" s="85">
        <v>6350</v>
      </c>
      <c r="N99" s="95" t="s">
        <v>17</v>
      </c>
      <c r="O99" s="96">
        <v>45474</v>
      </c>
      <c r="P99" s="88"/>
      <c r="Q99" s="84" t="s">
        <v>5</v>
      </c>
      <c r="R99" s="89"/>
      <c r="S99" s="90"/>
      <c r="T99" s="79"/>
      <c r="U99" s="79"/>
      <c r="V99" s="79"/>
      <c r="W99" s="79"/>
      <c r="X99" s="79"/>
      <c r="Y99" s="79"/>
      <c r="Z99" s="91"/>
      <c r="AA99" s="91"/>
      <c r="AB99" s="91"/>
      <c r="AC99" s="79"/>
      <c r="AD99" s="79"/>
      <c r="AE99" s="79"/>
      <c r="AF99" s="92"/>
      <c r="AG99" s="92"/>
      <c r="AH99" s="79"/>
      <c r="AI99" s="79"/>
      <c r="AJ99" s="92"/>
      <c r="AK99" s="79"/>
      <c r="AL99" s="79"/>
      <c r="AM99" s="92"/>
      <c r="AN99" s="92"/>
      <c r="AO99" s="92"/>
      <c r="AP99" s="92"/>
      <c r="AQ99" s="92"/>
      <c r="AR99" s="92"/>
      <c r="AS99" s="92"/>
      <c r="AT99" s="79"/>
      <c r="AU99" s="79"/>
      <c r="AV99" s="92" t="e">
        <f>VLOOKUP(I99, Kiegészítő_Mátrix!C:E, 3, FALSE)</f>
        <v>#N/A</v>
      </c>
    </row>
    <row r="100" spans="1:48" ht="30" customHeight="1" x14ac:dyDescent="0.3">
      <c r="A100" s="79"/>
      <c r="B100" s="79" t="s">
        <v>368</v>
      </c>
      <c r="C100" s="79" t="s">
        <v>163</v>
      </c>
      <c r="D100" s="80" t="s">
        <v>164</v>
      </c>
      <c r="E100" s="81" t="s">
        <v>369</v>
      </c>
      <c r="F100" s="80" t="s">
        <v>778</v>
      </c>
      <c r="G100" s="128" t="s">
        <v>774</v>
      </c>
      <c r="H100" s="81" t="s">
        <v>1365</v>
      </c>
      <c r="I100" s="80" t="s">
        <v>1248</v>
      </c>
      <c r="J100" s="79" t="s">
        <v>869</v>
      </c>
      <c r="K100" s="79" t="s">
        <v>2158</v>
      </c>
      <c r="L100" s="84" t="s">
        <v>16</v>
      </c>
      <c r="M100" s="85">
        <v>1788</v>
      </c>
      <c r="N100" s="95" t="s">
        <v>17</v>
      </c>
      <c r="O100" s="96">
        <v>42522</v>
      </c>
      <c r="P100" s="88"/>
      <c r="Q100" s="84" t="s">
        <v>5</v>
      </c>
      <c r="R100" s="89" t="s">
        <v>849</v>
      </c>
      <c r="S100" s="90" t="s">
        <v>858</v>
      </c>
      <c r="T100" s="79"/>
      <c r="U100" s="79"/>
      <c r="V100" s="79"/>
      <c r="W100" s="79"/>
      <c r="X100" s="79"/>
      <c r="Y100" s="79"/>
      <c r="Z100" s="91"/>
      <c r="AA100" s="91"/>
      <c r="AB100" s="91"/>
      <c r="AC100" s="79"/>
      <c r="AD100" s="79"/>
      <c r="AE100" s="79"/>
      <c r="AF100" s="92"/>
      <c r="AG100" s="92"/>
      <c r="AH100" s="79"/>
      <c r="AI100" s="79"/>
      <c r="AJ100" s="92" t="s">
        <v>866</v>
      </c>
      <c r="AK100" s="79"/>
      <c r="AL100" s="79"/>
      <c r="AM100" s="92"/>
      <c r="AN100" s="92" t="s">
        <v>14</v>
      </c>
      <c r="AO100" s="92" t="s">
        <v>878</v>
      </c>
      <c r="AP100" s="92"/>
      <c r="AQ100" s="92" t="s">
        <v>1695</v>
      </c>
      <c r="AR100" s="92" t="s">
        <v>1696</v>
      </c>
      <c r="AS100" s="92" t="s">
        <v>1697</v>
      </c>
      <c r="AT100" s="79"/>
      <c r="AU100" s="79"/>
      <c r="AV100" s="92" t="str">
        <f>VLOOKUP(I100, Kiegészítő_Mátrix!C:E, 3, FALSE)</f>
        <v>Dreamstation1 kiegészítők</v>
      </c>
    </row>
    <row r="101" spans="1:48" ht="30" customHeight="1" x14ac:dyDescent="0.3">
      <c r="A101" s="79"/>
      <c r="B101" s="79" t="s">
        <v>368</v>
      </c>
      <c r="C101" s="79" t="s">
        <v>163</v>
      </c>
      <c r="D101" s="80" t="s">
        <v>164</v>
      </c>
      <c r="E101" s="81" t="s">
        <v>369</v>
      </c>
      <c r="F101" s="80" t="s">
        <v>778</v>
      </c>
      <c r="G101" s="128" t="s">
        <v>774</v>
      </c>
      <c r="H101" s="81" t="s">
        <v>1366</v>
      </c>
      <c r="I101" s="80" t="s">
        <v>1249</v>
      </c>
      <c r="J101" s="79" t="s">
        <v>870</v>
      </c>
      <c r="K101" s="79" t="s">
        <v>2158</v>
      </c>
      <c r="L101" s="84" t="s">
        <v>16</v>
      </c>
      <c r="M101" s="85">
        <v>6858</v>
      </c>
      <c r="N101" s="95" t="s">
        <v>17</v>
      </c>
      <c r="O101" s="96">
        <v>42522</v>
      </c>
      <c r="P101" s="88"/>
      <c r="Q101" s="84" t="s">
        <v>5</v>
      </c>
      <c r="R101" s="89" t="s">
        <v>850</v>
      </c>
      <c r="S101" s="90" t="s">
        <v>857</v>
      </c>
      <c r="T101" s="79"/>
      <c r="U101" s="79"/>
      <c r="V101" s="79"/>
      <c r="W101" s="79"/>
      <c r="X101" s="79"/>
      <c r="Y101" s="79"/>
      <c r="Z101" s="91"/>
      <c r="AA101" s="91"/>
      <c r="AB101" s="91"/>
      <c r="AC101" s="79"/>
      <c r="AD101" s="79"/>
      <c r="AE101" s="79"/>
      <c r="AF101" s="92"/>
      <c r="AG101" s="92"/>
      <c r="AH101" s="79"/>
      <c r="AI101" s="79"/>
      <c r="AJ101" s="92"/>
      <c r="AK101" s="79"/>
      <c r="AL101" s="79"/>
      <c r="AM101" s="92"/>
      <c r="AN101" s="92" t="s">
        <v>14</v>
      </c>
      <c r="AO101" s="92" t="s">
        <v>878</v>
      </c>
      <c r="AP101" s="92"/>
      <c r="AQ101" s="92" t="s">
        <v>1698</v>
      </c>
      <c r="AR101" s="92" t="s">
        <v>1699</v>
      </c>
      <c r="AS101" s="92" t="s">
        <v>1700</v>
      </c>
      <c r="AT101" s="79"/>
      <c r="AU101" s="79"/>
      <c r="AV101" s="92" t="str">
        <f>VLOOKUP(I101, Kiegészítő_Mátrix!C:E, 3, FALSE)</f>
        <v>Dreamstation1 kiegészítők</v>
      </c>
    </row>
    <row r="102" spans="1:48" s="15" customFormat="1" ht="30" customHeight="1" x14ac:dyDescent="0.3">
      <c r="A102" s="92"/>
      <c r="B102" s="92" t="s">
        <v>368</v>
      </c>
      <c r="C102" s="92" t="s">
        <v>163</v>
      </c>
      <c r="D102" s="102" t="s">
        <v>164</v>
      </c>
      <c r="E102" s="90" t="s">
        <v>369</v>
      </c>
      <c r="F102" s="102" t="s">
        <v>778</v>
      </c>
      <c r="G102" s="113" t="s">
        <v>774</v>
      </c>
      <c r="H102" s="90" t="s">
        <v>1367</v>
      </c>
      <c r="I102" s="122">
        <v>1142587</v>
      </c>
      <c r="J102" s="79" t="s">
        <v>871</v>
      </c>
      <c r="K102" s="92" t="s">
        <v>2158</v>
      </c>
      <c r="L102" s="105" t="s">
        <v>16</v>
      </c>
      <c r="M102" s="106">
        <v>1905</v>
      </c>
      <c r="N102" s="107" t="s">
        <v>17</v>
      </c>
      <c r="O102" s="108"/>
      <c r="P102" s="109"/>
      <c r="Q102" s="105"/>
      <c r="R102" s="92" t="s">
        <v>855</v>
      </c>
      <c r="S102" s="90" t="s">
        <v>856</v>
      </c>
      <c r="T102" s="92"/>
      <c r="U102" s="92"/>
      <c r="V102" s="92"/>
      <c r="W102" s="92"/>
      <c r="X102" s="92"/>
      <c r="Y102" s="92"/>
      <c r="Z102" s="97"/>
      <c r="AA102" s="97"/>
      <c r="AB102" s="97"/>
      <c r="AC102" s="92"/>
      <c r="AD102" s="92"/>
      <c r="AE102" s="92"/>
      <c r="AF102" s="92"/>
      <c r="AG102" s="92"/>
      <c r="AH102" s="92"/>
      <c r="AI102" s="92"/>
      <c r="AJ102" s="92" t="s">
        <v>1322</v>
      </c>
      <c r="AK102" s="92"/>
      <c r="AL102" s="92"/>
      <c r="AM102" s="92"/>
      <c r="AN102" s="92" t="s">
        <v>441</v>
      </c>
      <c r="AO102" s="92" t="s">
        <v>879</v>
      </c>
      <c r="AP102" s="92"/>
      <c r="AQ102" s="92" t="s">
        <v>1701</v>
      </c>
      <c r="AR102" s="92" t="s">
        <v>1702</v>
      </c>
      <c r="AS102" s="92" t="s">
        <v>1703</v>
      </c>
      <c r="AT102" s="92"/>
      <c r="AU102" s="92"/>
      <c r="AV102" s="92" t="str">
        <f>VLOOKUP(I102, Kiegészítő_Mátrix!C:E, 3, FALSE)</f>
        <v>Dreamstation 2 kiegészítők</v>
      </c>
    </row>
    <row r="103" spans="1:48" s="15" customFormat="1" ht="30" customHeight="1" x14ac:dyDescent="0.3">
      <c r="A103" s="92"/>
      <c r="B103" s="92" t="s">
        <v>368</v>
      </c>
      <c r="C103" s="92" t="s">
        <v>163</v>
      </c>
      <c r="D103" s="102" t="s">
        <v>164</v>
      </c>
      <c r="E103" s="90" t="s">
        <v>369</v>
      </c>
      <c r="F103" s="102" t="s">
        <v>778</v>
      </c>
      <c r="G103" s="113" t="s">
        <v>774</v>
      </c>
      <c r="H103" s="90" t="s">
        <v>1368</v>
      </c>
      <c r="I103" s="122">
        <v>1142831</v>
      </c>
      <c r="J103" s="79" t="s">
        <v>872</v>
      </c>
      <c r="K103" s="92" t="s">
        <v>2158</v>
      </c>
      <c r="L103" s="105" t="s">
        <v>16</v>
      </c>
      <c r="M103" s="106">
        <v>9525</v>
      </c>
      <c r="N103" s="107" t="s">
        <v>17</v>
      </c>
      <c r="O103" s="108"/>
      <c r="P103" s="109"/>
      <c r="Q103" s="105"/>
      <c r="R103" s="92" t="s">
        <v>862</v>
      </c>
      <c r="S103" s="90" t="s">
        <v>863</v>
      </c>
      <c r="T103" s="92"/>
      <c r="U103" s="92"/>
      <c r="V103" s="92"/>
      <c r="W103" s="92"/>
      <c r="X103" s="92"/>
      <c r="Y103" s="92"/>
      <c r="Z103" s="97"/>
      <c r="AA103" s="97"/>
      <c r="AB103" s="97"/>
      <c r="AC103" s="92"/>
      <c r="AD103" s="92"/>
      <c r="AE103" s="92"/>
      <c r="AF103" s="92"/>
      <c r="AG103" s="92"/>
      <c r="AH103" s="92"/>
      <c r="AI103" s="92"/>
      <c r="AJ103" s="92" t="s">
        <v>1321</v>
      </c>
      <c r="AK103" s="92"/>
      <c r="AL103" s="92"/>
      <c r="AM103" s="92"/>
      <c r="AN103" s="92" t="s">
        <v>441</v>
      </c>
      <c r="AO103" s="92" t="s">
        <v>879</v>
      </c>
      <c r="AP103" s="92"/>
      <c r="AQ103" s="92" t="s">
        <v>1704</v>
      </c>
      <c r="AR103" s="92" t="s">
        <v>1705</v>
      </c>
      <c r="AS103" s="92" t="s">
        <v>1706</v>
      </c>
      <c r="AT103" s="92"/>
      <c r="AU103" s="92"/>
      <c r="AV103" s="92" t="str">
        <f>VLOOKUP(I103, Kiegészítő_Mátrix!C:E, 3, FALSE)</f>
        <v>Dreamstation 2 kiegészítők</v>
      </c>
    </row>
    <row r="104" spans="1:48" s="14" customFormat="1" ht="30" customHeight="1" x14ac:dyDescent="0.3">
      <c r="A104" s="132"/>
      <c r="B104" s="79" t="s">
        <v>368</v>
      </c>
      <c r="C104" s="79" t="s">
        <v>163</v>
      </c>
      <c r="D104" s="80" t="s">
        <v>164</v>
      </c>
      <c r="E104" s="81" t="s">
        <v>369</v>
      </c>
      <c r="F104" s="80" t="s">
        <v>778</v>
      </c>
      <c r="G104" s="128" t="s">
        <v>774</v>
      </c>
      <c r="H104" s="81" t="s">
        <v>787</v>
      </c>
      <c r="I104" s="102" t="s">
        <v>2154</v>
      </c>
      <c r="J104" s="79" t="s">
        <v>2156</v>
      </c>
      <c r="K104" s="132"/>
      <c r="L104" s="84" t="s">
        <v>16</v>
      </c>
      <c r="M104" s="106"/>
      <c r="N104" s="95" t="s">
        <v>17</v>
      </c>
      <c r="O104" s="96">
        <v>46023</v>
      </c>
      <c r="P104" s="134"/>
      <c r="Q104" s="133" t="s">
        <v>17</v>
      </c>
      <c r="R104" s="135"/>
      <c r="S104" s="104"/>
      <c r="T104" s="132"/>
      <c r="U104" s="132"/>
      <c r="V104" s="132"/>
      <c r="W104" s="132"/>
      <c r="X104" s="132"/>
      <c r="Y104" s="132"/>
      <c r="Z104" s="136"/>
      <c r="AA104" s="137"/>
      <c r="AB104" s="137"/>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t="e">
        <f>VLOOKUP(I104, Kiegészítő_Mátrix!C:E, 3, FALSE)</f>
        <v>#N/A</v>
      </c>
    </row>
    <row r="105" spans="1:48" s="14" customFormat="1" ht="30" customHeight="1" x14ac:dyDescent="0.3">
      <c r="A105" s="132"/>
      <c r="B105" s="79" t="s">
        <v>368</v>
      </c>
      <c r="C105" s="79" t="s">
        <v>163</v>
      </c>
      <c r="D105" s="80" t="s">
        <v>164</v>
      </c>
      <c r="E105" s="81" t="s">
        <v>369</v>
      </c>
      <c r="F105" s="80" t="s">
        <v>778</v>
      </c>
      <c r="G105" s="128" t="s">
        <v>774</v>
      </c>
      <c r="H105" s="81" t="s">
        <v>787</v>
      </c>
      <c r="I105" s="102" t="s">
        <v>2155</v>
      </c>
      <c r="J105" s="79" t="s">
        <v>2157</v>
      </c>
      <c r="K105" s="132"/>
      <c r="L105" s="84" t="s">
        <v>16</v>
      </c>
      <c r="M105" s="106"/>
      <c r="N105" s="95" t="s">
        <v>17</v>
      </c>
      <c r="O105" s="96">
        <v>46023</v>
      </c>
      <c r="P105" s="134"/>
      <c r="Q105" s="133" t="s">
        <v>17</v>
      </c>
      <c r="R105" s="135"/>
      <c r="S105" s="104"/>
      <c r="T105" s="132"/>
      <c r="U105" s="132"/>
      <c r="V105" s="132"/>
      <c r="W105" s="132"/>
      <c r="X105" s="132"/>
      <c r="Y105" s="132"/>
      <c r="Z105" s="136"/>
      <c r="AA105" s="137"/>
      <c r="AB105" s="137"/>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t="e">
        <f>VLOOKUP(I105, Kiegészítő_Mátrix!C:E, 3, FALSE)</f>
        <v>#N/A</v>
      </c>
    </row>
    <row r="106" spans="1:48" ht="30" customHeight="1" x14ac:dyDescent="0.3">
      <c r="A106" s="79"/>
      <c r="B106" s="79" t="s">
        <v>368</v>
      </c>
      <c r="C106" s="79" t="s">
        <v>163</v>
      </c>
      <c r="D106" s="80" t="s">
        <v>164</v>
      </c>
      <c r="E106" s="81" t="s">
        <v>369</v>
      </c>
      <c r="F106" s="80" t="s">
        <v>778</v>
      </c>
      <c r="G106" s="128" t="s">
        <v>774</v>
      </c>
      <c r="H106" s="81" t="s">
        <v>787</v>
      </c>
      <c r="I106" s="80">
        <v>1029330</v>
      </c>
      <c r="J106" s="79" t="s">
        <v>169</v>
      </c>
      <c r="K106" s="79" t="s">
        <v>2158</v>
      </c>
      <c r="L106" s="84" t="s">
        <v>16</v>
      </c>
      <c r="M106" s="85">
        <v>3556</v>
      </c>
      <c r="N106" s="95" t="s">
        <v>17</v>
      </c>
      <c r="O106" s="96">
        <v>40528</v>
      </c>
      <c r="P106" s="88"/>
      <c r="Q106" s="84" t="s">
        <v>5</v>
      </c>
      <c r="R106" s="89" t="s">
        <v>852</v>
      </c>
      <c r="S106" s="90" t="s">
        <v>851</v>
      </c>
      <c r="T106" s="79"/>
      <c r="U106" s="79"/>
      <c r="V106" s="79"/>
      <c r="W106" s="79"/>
      <c r="X106" s="79"/>
      <c r="Y106" s="79"/>
      <c r="Z106" s="91"/>
      <c r="AA106" s="91"/>
      <c r="AB106" s="91"/>
      <c r="AC106" s="79"/>
      <c r="AD106" s="79"/>
      <c r="AE106" s="79"/>
      <c r="AF106" s="92"/>
      <c r="AG106" s="92"/>
      <c r="AH106" s="79"/>
      <c r="AI106" s="79"/>
      <c r="AJ106" s="92" t="s">
        <v>866</v>
      </c>
      <c r="AK106" s="79"/>
      <c r="AL106" s="79"/>
      <c r="AM106" s="92"/>
      <c r="AN106" s="92" t="s">
        <v>880</v>
      </c>
      <c r="AO106" s="92" t="s">
        <v>881</v>
      </c>
      <c r="AP106" s="92"/>
      <c r="AQ106" s="92" t="s">
        <v>1707</v>
      </c>
      <c r="AR106" s="92" t="s">
        <v>1708</v>
      </c>
      <c r="AS106" s="92" t="s">
        <v>1709</v>
      </c>
      <c r="AT106" s="79"/>
      <c r="AU106" s="79"/>
      <c r="AV106" s="92" t="str">
        <f>VLOOKUP(I106, Kiegészítő_Mátrix!C:E, 3, FALSE)</f>
        <v>Régebbi Philips modellek tartozékai</v>
      </c>
    </row>
    <row r="107" spans="1:48" ht="30" customHeight="1" x14ac:dyDescent="0.3">
      <c r="A107" s="79"/>
      <c r="B107" s="79" t="s">
        <v>368</v>
      </c>
      <c r="C107" s="79" t="s">
        <v>163</v>
      </c>
      <c r="D107" s="80" t="s">
        <v>164</v>
      </c>
      <c r="E107" s="81" t="s">
        <v>369</v>
      </c>
      <c r="F107" s="80" t="s">
        <v>778</v>
      </c>
      <c r="G107" s="128" t="s">
        <v>774</v>
      </c>
      <c r="H107" s="81" t="s">
        <v>788</v>
      </c>
      <c r="I107" s="80">
        <v>1029331</v>
      </c>
      <c r="J107" s="79" t="s">
        <v>179</v>
      </c>
      <c r="K107" s="79" t="s">
        <v>2158</v>
      </c>
      <c r="L107" s="84" t="s">
        <v>16</v>
      </c>
      <c r="M107" s="85">
        <v>5029</v>
      </c>
      <c r="N107" s="95" t="s">
        <v>17</v>
      </c>
      <c r="O107" s="96">
        <v>40528</v>
      </c>
      <c r="P107" s="88"/>
      <c r="Q107" s="84" t="s">
        <v>5</v>
      </c>
      <c r="R107" s="89" t="s">
        <v>853</v>
      </c>
      <c r="S107" s="90" t="s">
        <v>865</v>
      </c>
      <c r="T107" s="79"/>
      <c r="U107" s="79"/>
      <c r="V107" s="79"/>
      <c r="W107" s="79"/>
      <c r="X107" s="79"/>
      <c r="Y107" s="79"/>
      <c r="Z107" s="91"/>
      <c r="AA107" s="91"/>
      <c r="AB107" s="91"/>
      <c r="AC107" s="79"/>
      <c r="AD107" s="79"/>
      <c r="AE107" s="79"/>
      <c r="AF107" s="92"/>
      <c r="AG107" s="92"/>
      <c r="AH107" s="79"/>
      <c r="AI107" s="79"/>
      <c r="AJ107" s="92" t="s">
        <v>867</v>
      </c>
      <c r="AK107" s="79"/>
      <c r="AL107" s="79"/>
      <c r="AM107" s="92"/>
      <c r="AN107" s="92" t="s">
        <v>880</v>
      </c>
      <c r="AO107" s="92" t="s">
        <v>881</v>
      </c>
      <c r="AP107" s="92"/>
      <c r="AQ107" s="92" t="s">
        <v>1710</v>
      </c>
      <c r="AR107" s="92" t="s">
        <v>1711</v>
      </c>
      <c r="AS107" s="92" t="s">
        <v>1712</v>
      </c>
      <c r="AT107" s="79"/>
      <c r="AU107" s="79"/>
      <c r="AV107" s="92" t="str">
        <f>VLOOKUP(I107, Kiegészítő_Mátrix!C:E, 3, FALSE)</f>
        <v>Régebbi Philips modellek tartozékai</v>
      </c>
    </row>
    <row r="108" spans="1:48" s="10" customFormat="1" ht="30" customHeight="1" x14ac:dyDescent="0.3">
      <c r="A108" s="118"/>
      <c r="B108" s="118" t="s">
        <v>368</v>
      </c>
      <c r="C108" s="118" t="s">
        <v>163</v>
      </c>
      <c r="D108" s="117" t="s">
        <v>164</v>
      </c>
      <c r="E108" s="138" t="s">
        <v>369</v>
      </c>
      <c r="F108" s="117" t="s">
        <v>776</v>
      </c>
      <c r="G108" s="139" t="s">
        <v>775</v>
      </c>
      <c r="H108" s="81" t="s">
        <v>784</v>
      </c>
      <c r="I108" s="138"/>
      <c r="J108" s="138" t="s">
        <v>170</v>
      </c>
      <c r="K108" s="125" t="s">
        <v>2159</v>
      </c>
      <c r="L108" s="119"/>
      <c r="M108" s="140"/>
      <c r="N108" s="141" t="s">
        <v>17</v>
      </c>
      <c r="O108" s="142"/>
      <c r="P108" s="143"/>
      <c r="Q108" s="119"/>
      <c r="R108" s="144"/>
      <c r="S108" s="90" t="s">
        <v>1720</v>
      </c>
      <c r="T108" s="118"/>
      <c r="U108" s="118"/>
      <c r="V108" s="118"/>
      <c r="W108" s="118"/>
      <c r="X108" s="118"/>
      <c r="Y108" s="118"/>
      <c r="Z108" s="143"/>
      <c r="AA108" s="143"/>
      <c r="AB108" s="143"/>
      <c r="AC108" s="118"/>
      <c r="AD108" s="118"/>
      <c r="AE108" s="118"/>
      <c r="AF108" s="145"/>
      <c r="AG108" s="145"/>
      <c r="AH108" s="118"/>
      <c r="AI108" s="118"/>
      <c r="AJ108" s="145"/>
      <c r="AK108" s="118"/>
      <c r="AL108" s="118"/>
      <c r="AM108" s="145"/>
      <c r="AN108" s="145">
        <v>112000205</v>
      </c>
      <c r="AO108" s="145" t="s">
        <v>882</v>
      </c>
      <c r="AP108" s="145"/>
      <c r="AQ108" s="145" t="s">
        <v>1721</v>
      </c>
      <c r="AR108" s="145" t="s">
        <v>1722</v>
      </c>
      <c r="AS108" s="145" t="s">
        <v>1723</v>
      </c>
      <c r="AT108" s="118"/>
      <c r="AU108" s="118"/>
      <c r="AV108" s="145" t="e">
        <f>VLOOKUP(I108, Kiegészítő_Mátrix!C:E, 3, FALSE)</f>
        <v>#N/A</v>
      </c>
    </row>
    <row r="109" spans="1:48" s="10" customFormat="1" ht="30" customHeight="1" x14ac:dyDescent="0.3">
      <c r="A109" s="118"/>
      <c r="B109" s="118" t="s">
        <v>368</v>
      </c>
      <c r="C109" s="118" t="s">
        <v>163</v>
      </c>
      <c r="D109" s="117" t="s">
        <v>164</v>
      </c>
      <c r="E109" s="138" t="s">
        <v>369</v>
      </c>
      <c r="F109" s="117" t="s">
        <v>776</v>
      </c>
      <c r="G109" s="139" t="s">
        <v>775</v>
      </c>
      <c r="H109" s="138" t="s">
        <v>789</v>
      </c>
      <c r="I109" s="131" t="s">
        <v>180</v>
      </c>
      <c r="J109" s="126" t="s">
        <v>181</v>
      </c>
      <c r="K109" s="126" t="s">
        <v>2158</v>
      </c>
      <c r="L109" s="101"/>
      <c r="M109" s="120">
        <v>12192</v>
      </c>
      <c r="N109" s="110" t="s">
        <v>17</v>
      </c>
      <c r="O109" s="111"/>
      <c r="P109" s="112"/>
      <c r="Q109" s="119"/>
      <c r="R109" s="144" t="s">
        <v>854</v>
      </c>
      <c r="S109" s="146" t="s">
        <v>864</v>
      </c>
      <c r="T109" s="118"/>
      <c r="U109" s="118"/>
      <c r="V109" s="118"/>
      <c r="W109" s="118"/>
      <c r="X109" s="118"/>
      <c r="Y109" s="118"/>
      <c r="Z109" s="143"/>
      <c r="AA109" s="143"/>
      <c r="AB109" s="143"/>
      <c r="AC109" s="118"/>
      <c r="AD109" s="118"/>
      <c r="AE109" s="118"/>
      <c r="AF109" s="145"/>
      <c r="AG109" s="145"/>
      <c r="AH109" s="118"/>
      <c r="AI109" s="118"/>
      <c r="AJ109" s="145"/>
      <c r="AK109" s="118"/>
      <c r="AL109" s="118"/>
      <c r="AM109" s="145"/>
      <c r="AN109" s="145">
        <v>112000205</v>
      </c>
      <c r="AO109" s="145" t="s">
        <v>882</v>
      </c>
      <c r="AP109" s="145"/>
      <c r="AQ109" s="145" t="s">
        <v>1713</v>
      </c>
      <c r="AR109" s="145" t="s">
        <v>1714</v>
      </c>
      <c r="AS109" s="145" t="s">
        <v>1715</v>
      </c>
      <c r="AT109" s="118"/>
      <c r="AU109" s="118"/>
      <c r="AV109" s="145" t="str">
        <f>VLOOKUP(I109, Kiegészítő_Mátrix!C:E, 3, FALSE)</f>
        <v>Aeonmed kiegészítők</v>
      </c>
    </row>
    <row r="110" spans="1:48" s="10" customFormat="1" ht="30" customHeight="1" x14ac:dyDescent="0.3">
      <c r="A110" s="118"/>
      <c r="B110" s="118" t="s">
        <v>368</v>
      </c>
      <c r="C110" s="118" t="s">
        <v>163</v>
      </c>
      <c r="D110" s="117" t="s">
        <v>164</v>
      </c>
      <c r="E110" s="138" t="s">
        <v>369</v>
      </c>
      <c r="F110" s="117" t="s">
        <v>776</v>
      </c>
      <c r="G110" s="139" t="s">
        <v>775</v>
      </c>
      <c r="H110" s="138" t="s">
        <v>790</v>
      </c>
      <c r="I110" s="117" t="s">
        <v>183</v>
      </c>
      <c r="J110" s="138" t="s">
        <v>184</v>
      </c>
      <c r="K110" s="125" t="s">
        <v>2158</v>
      </c>
      <c r="L110" s="119"/>
      <c r="M110" s="140">
        <v>1500</v>
      </c>
      <c r="N110" s="141" t="s">
        <v>17</v>
      </c>
      <c r="O110" s="142">
        <v>44927</v>
      </c>
      <c r="P110" s="143"/>
      <c r="Q110" s="119"/>
      <c r="R110" s="144"/>
      <c r="S110" s="146"/>
      <c r="T110" s="118"/>
      <c r="U110" s="118"/>
      <c r="V110" s="118"/>
      <c r="W110" s="118"/>
      <c r="X110" s="118"/>
      <c r="Y110" s="118"/>
      <c r="Z110" s="143"/>
      <c r="AA110" s="143"/>
      <c r="AB110" s="143"/>
      <c r="AC110" s="118"/>
      <c r="AD110" s="118"/>
      <c r="AE110" s="118"/>
      <c r="AF110" s="145"/>
      <c r="AG110" s="145"/>
      <c r="AH110" s="118"/>
      <c r="AI110" s="118"/>
      <c r="AJ110" s="145"/>
      <c r="AK110" s="118"/>
      <c r="AL110" s="118"/>
      <c r="AM110" s="145"/>
      <c r="AN110" s="145">
        <v>112000205</v>
      </c>
      <c r="AO110" s="145" t="s">
        <v>882</v>
      </c>
      <c r="AP110" s="145"/>
      <c r="AQ110" s="145" t="s">
        <v>1716</v>
      </c>
      <c r="AR110" s="145" t="s">
        <v>1717</v>
      </c>
      <c r="AS110" s="145" t="s">
        <v>1718</v>
      </c>
      <c r="AT110" s="118"/>
      <c r="AU110" s="118"/>
      <c r="AV110" s="145" t="e">
        <f>VLOOKUP(I110, Kiegészítő_Mátrix!C:E, 3, FALSE)</f>
        <v>#N/A</v>
      </c>
    </row>
    <row r="111" spans="1:48" x14ac:dyDescent="0.3">
      <c r="A111" s="79"/>
      <c r="B111" s="79"/>
      <c r="C111" s="79"/>
      <c r="D111" s="80"/>
      <c r="E111" s="81"/>
      <c r="F111" s="80"/>
      <c r="G111" s="80"/>
      <c r="H111" s="81"/>
      <c r="I111" s="83"/>
      <c r="J111" s="79"/>
      <c r="K111" s="79"/>
      <c r="L111" s="84"/>
      <c r="M111" s="85"/>
      <c r="N111" s="86"/>
      <c r="O111" s="87"/>
      <c r="P111" s="91"/>
      <c r="Q111" s="84"/>
      <c r="R111" s="89"/>
      <c r="S111" s="90"/>
      <c r="T111" s="79"/>
      <c r="U111" s="79"/>
      <c r="V111" s="79"/>
      <c r="W111" s="79"/>
      <c r="X111" s="79"/>
      <c r="Y111" s="79"/>
      <c r="Z111" s="91"/>
      <c r="AA111" s="91"/>
      <c r="AB111" s="91"/>
      <c r="AC111" s="79"/>
      <c r="AD111" s="79"/>
      <c r="AE111" s="79"/>
      <c r="AF111" s="92"/>
      <c r="AG111" s="92"/>
      <c r="AH111" s="79"/>
      <c r="AI111" s="79"/>
      <c r="AJ111" s="92"/>
      <c r="AK111" s="79"/>
      <c r="AL111" s="79"/>
      <c r="AM111" s="92"/>
      <c r="AN111" s="92"/>
      <c r="AO111" s="92"/>
      <c r="AP111" s="92"/>
      <c r="AQ111" s="92"/>
      <c r="AR111" s="92"/>
      <c r="AS111" s="92"/>
      <c r="AT111" s="79"/>
      <c r="AU111" s="79"/>
      <c r="AV111" s="92" t="e">
        <f>VLOOKUP(I111, Kiegészítő_Mátrix!C:E, 3, FALSE)</f>
        <v>#N/A</v>
      </c>
    </row>
    <row r="112" spans="1:48" ht="30" customHeight="1" x14ac:dyDescent="0.3">
      <c r="A112" s="79"/>
      <c r="B112" s="79" t="s">
        <v>368</v>
      </c>
      <c r="C112" s="79" t="s">
        <v>163</v>
      </c>
      <c r="D112" s="80" t="s">
        <v>185</v>
      </c>
      <c r="E112" s="81" t="s">
        <v>370</v>
      </c>
      <c r="F112" s="80" t="s">
        <v>371</v>
      </c>
      <c r="G112" s="81" t="s">
        <v>372</v>
      </c>
      <c r="H112" s="81" t="s">
        <v>791</v>
      </c>
      <c r="I112" s="80" t="s">
        <v>186</v>
      </c>
      <c r="J112" s="79" t="s">
        <v>995</v>
      </c>
      <c r="K112" s="79" t="s">
        <v>2158</v>
      </c>
      <c r="L112" s="84" t="s">
        <v>4</v>
      </c>
      <c r="M112" s="85">
        <v>9519</v>
      </c>
      <c r="N112" s="95" t="s">
        <v>17</v>
      </c>
      <c r="O112" s="96">
        <v>44562</v>
      </c>
      <c r="P112" s="88" t="s">
        <v>531</v>
      </c>
      <c r="Q112" s="84" t="s">
        <v>5</v>
      </c>
      <c r="R112" s="89" t="s">
        <v>911</v>
      </c>
      <c r="S112" s="90" t="s">
        <v>912</v>
      </c>
      <c r="T112" s="79"/>
      <c r="U112" s="79"/>
      <c r="V112" s="79"/>
      <c r="W112" s="79"/>
      <c r="X112" s="79"/>
      <c r="Y112" s="79"/>
      <c r="Z112" s="91"/>
      <c r="AA112" s="91"/>
      <c r="AB112" s="91"/>
      <c r="AC112" s="79"/>
      <c r="AD112" s="79"/>
      <c r="AE112" s="79"/>
      <c r="AF112" s="92"/>
      <c r="AG112" s="92"/>
      <c r="AH112" s="79"/>
      <c r="AI112" s="79"/>
      <c r="AJ112" s="92" t="s">
        <v>885</v>
      </c>
      <c r="AK112" s="79"/>
      <c r="AL112" s="79" t="s">
        <v>408</v>
      </c>
      <c r="AM112" s="92" t="s">
        <v>409</v>
      </c>
      <c r="AN112" s="92" t="s">
        <v>886</v>
      </c>
      <c r="AO112" s="92" t="s">
        <v>890</v>
      </c>
      <c r="AP112" s="92"/>
      <c r="AQ112" s="92" t="s">
        <v>1726</v>
      </c>
      <c r="AR112" s="92" t="s">
        <v>1727</v>
      </c>
      <c r="AS112" s="92" t="s">
        <v>1728</v>
      </c>
      <c r="AT112" s="79"/>
      <c r="AU112" s="79"/>
      <c r="AV112" s="92" t="str">
        <f>VLOOKUP(I112, Kiegészítő_Mátrix!C:E, 3, FALSE)</f>
        <v>Cara orrmaszk kiegészítők</v>
      </c>
    </row>
    <row r="113" spans="1:48" ht="30" customHeight="1" x14ac:dyDescent="0.3">
      <c r="A113" s="79"/>
      <c r="B113" s="79" t="s">
        <v>368</v>
      </c>
      <c r="C113" s="79" t="s">
        <v>163</v>
      </c>
      <c r="D113" s="80" t="s">
        <v>185</v>
      </c>
      <c r="E113" s="81" t="s">
        <v>370</v>
      </c>
      <c r="F113" s="80" t="s">
        <v>371</v>
      </c>
      <c r="G113" s="81" t="s">
        <v>372</v>
      </c>
      <c r="H113" s="81" t="s">
        <v>791</v>
      </c>
      <c r="I113" s="80" t="s">
        <v>187</v>
      </c>
      <c r="J113" s="79" t="s">
        <v>996</v>
      </c>
      <c r="K113" s="79" t="s">
        <v>2158</v>
      </c>
      <c r="L113" s="84" t="s">
        <v>4</v>
      </c>
      <c r="M113" s="85">
        <v>9519</v>
      </c>
      <c r="N113" s="95" t="s">
        <v>17</v>
      </c>
      <c r="O113" s="96">
        <v>44562</v>
      </c>
      <c r="P113" s="88" t="s">
        <v>532</v>
      </c>
      <c r="Q113" s="84" t="s">
        <v>5</v>
      </c>
      <c r="R113" s="89" t="s">
        <v>911</v>
      </c>
      <c r="S113" s="90" t="s">
        <v>912</v>
      </c>
      <c r="T113" s="79"/>
      <c r="U113" s="79"/>
      <c r="V113" s="79"/>
      <c r="W113" s="79"/>
      <c r="X113" s="79"/>
      <c r="Y113" s="79"/>
      <c r="Z113" s="91"/>
      <c r="AA113" s="91"/>
      <c r="AB113" s="91"/>
      <c r="AC113" s="79"/>
      <c r="AD113" s="79"/>
      <c r="AE113" s="79"/>
      <c r="AF113" s="92"/>
      <c r="AG113" s="92"/>
      <c r="AH113" s="79"/>
      <c r="AI113" s="79"/>
      <c r="AJ113" s="92" t="s">
        <v>885</v>
      </c>
      <c r="AK113" s="79"/>
      <c r="AL113" s="79" t="s">
        <v>408</v>
      </c>
      <c r="AM113" s="92" t="s">
        <v>409</v>
      </c>
      <c r="AN113" s="92" t="s">
        <v>887</v>
      </c>
      <c r="AO113" s="92" t="s">
        <v>890</v>
      </c>
      <c r="AP113" s="92"/>
      <c r="AQ113" s="92" t="s">
        <v>1729</v>
      </c>
      <c r="AR113" s="92" t="s">
        <v>1730</v>
      </c>
      <c r="AS113" s="92" t="s">
        <v>1731</v>
      </c>
      <c r="AT113" s="79"/>
      <c r="AU113" s="79"/>
      <c r="AV113" s="92" t="str">
        <f>VLOOKUP(I113, Kiegészítő_Mátrix!C:E, 3, FALSE)</f>
        <v>Cara orrmaszk kiegészítők</v>
      </c>
    </row>
    <row r="114" spans="1:48" ht="30" customHeight="1" x14ac:dyDescent="0.3">
      <c r="A114" s="79"/>
      <c r="B114" s="79" t="s">
        <v>368</v>
      </c>
      <c r="C114" s="79" t="s">
        <v>163</v>
      </c>
      <c r="D114" s="80" t="s">
        <v>185</v>
      </c>
      <c r="E114" s="81" t="s">
        <v>370</v>
      </c>
      <c r="F114" s="80" t="s">
        <v>371</v>
      </c>
      <c r="G114" s="81" t="s">
        <v>372</v>
      </c>
      <c r="H114" s="81" t="s">
        <v>791</v>
      </c>
      <c r="I114" s="80" t="s">
        <v>188</v>
      </c>
      <c r="J114" s="79" t="s">
        <v>997</v>
      </c>
      <c r="K114" s="79" t="s">
        <v>2158</v>
      </c>
      <c r="L114" s="84" t="s">
        <v>4</v>
      </c>
      <c r="M114" s="85">
        <v>9519</v>
      </c>
      <c r="N114" s="95" t="s">
        <v>17</v>
      </c>
      <c r="O114" s="96">
        <v>44197</v>
      </c>
      <c r="P114" s="88" t="s">
        <v>533</v>
      </c>
      <c r="Q114" s="84" t="s">
        <v>5</v>
      </c>
      <c r="R114" s="89" t="s">
        <v>911</v>
      </c>
      <c r="S114" s="90" t="s">
        <v>912</v>
      </c>
      <c r="T114" s="79"/>
      <c r="U114" s="79"/>
      <c r="V114" s="79"/>
      <c r="W114" s="79"/>
      <c r="X114" s="79"/>
      <c r="Y114" s="79"/>
      <c r="Z114" s="91"/>
      <c r="AA114" s="91"/>
      <c r="AB114" s="91"/>
      <c r="AC114" s="79"/>
      <c r="AD114" s="79"/>
      <c r="AE114" s="79"/>
      <c r="AF114" s="92"/>
      <c r="AG114" s="92"/>
      <c r="AH114" s="79"/>
      <c r="AI114" s="79"/>
      <c r="AJ114" s="92" t="s">
        <v>885</v>
      </c>
      <c r="AK114" s="79"/>
      <c r="AL114" s="79" t="s">
        <v>408</v>
      </c>
      <c r="AM114" s="92" t="s">
        <v>409</v>
      </c>
      <c r="AN114" s="92" t="s">
        <v>888</v>
      </c>
      <c r="AO114" s="92" t="s">
        <v>890</v>
      </c>
      <c r="AP114" s="92"/>
      <c r="AQ114" s="92" t="s">
        <v>1732</v>
      </c>
      <c r="AR114" s="92" t="s">
        <v>1733</v>
      </c>
      <c r="AS114" s="92" t="s">
        <v>1734</v>
      </c>
      <c r="AT114" s="79"/>
      <c r="AU114" s="79"/>
      <c r="AV114" s="92" t="str">
        <f>VLOOKUP(I114, Kiegészítő_Mátrix!C:E, 3, FALSE)</f>
        <v>Cara orrmaszk kiegészítők</v>
      </c>
    </row>
    <row r="115" spans="1:48" ht="30" customHeight="1" x14ac:dyDescent="0.3">
      <c r="A115" s="79"/>
      <c r="B115" s="79" t="s">
        <v>368</v>
      </c>
      <c r="C115" s="79" t="s">
        <v>163</v>
      </c>
      <c r="D115" s="80" t="s">
        <v>185</v>
      </c>
      <c r="E115" s="81" t="s">
        <v>370</v>
      </c>
      <c r="F115" s="80" t="s">
        <v>371</v>
      </c>
      <c r="G115" s="81" t="s">
        <v>372</v>
      </c>
      <c r="H115" s="81" t="s">
        <v>791</v>
      </c>
      <c r="I115" s="117" t="s">
        <v>189</v>
      </c>
      <c r="J115" s="118" t="s">
        <v>998</v>
      </c>
      <c r="K115" s="126" t="s">
        <v>2158</v>
      </c>
      <c r="L115" s="119" t="s">
        <v>4</v>
      </c>
      <c r="M115" s="140">
        <v>9519</v>
      </c>
      <c r="N115" s="95" t="s">
        <v>17</v>
      </c>
      <c r="O115" s="96"/>
      <c r="P115" s="88" t="s">
        <v>534</v>
      </c>
      <c r="Q115" s="84"/>
      <c r="R115" s="89" t="s">
        <v>911</v>
      </c>
      <c r="S115" s="90" t="s">
        <v>912</v>
      </c>
      <c r="T115" s="79"/>
      <c r="U115" s="79"/>
      <c r="V115" s="79"/>
      <c r="W115" s="79"/>
      <c r="X115" s="79"/>
      <c r="Y115" s="79"/>
      <c r="Z115" s="91"/>
      <c r="AA115" s="91"/>
      <c r="AB115" s="91"/>
      <c r="AC115" s="79"/>
      <c r="AD115" s="79"/>
      <c r="AE115" s="79"/>
      <c r="AF115" s="92"/>
      <c r="AG115" s="92"/>
      <c r="AH115" s="79"/>
      <c r="AI115" s="79"/>
      <c r="AJ115" s="92" t="s">
        <v>885</v>
      </c>
      <c r="AK115" s="79"/>
      <c r="AL115" s="79" t="s">
        <v>408</v>
      </c>
      <c r="AM115" s="92" t="s">
        <v>409</v>
      </c>
      <c r="AN115" s="92" t="s">
        <v>889</v>
      </c>
      <c r="AO115" s="92" t="s">
        <v>890</v>
      </c>
      <c r="AP115" s="92"/>
      <c r="AQ115" s="92" t="s">
        <v>1735</v>
      </c>
      <c r="AR115" s="92" t="s">
        <v>1736</v>
      </c>
      <c r="AS115" s="92" t="s">
        <v>1737</v>
      </c>
      <c r="AT115" s="79"/>
      <c r="AU115" s="79"/>
      <c r="AV115" s="92" t="str">
        <f>VLOOKUP(I115, Kiegészítő_Mátrix!C:E, 3, FALSE)</f>
        <v>Cara orrmaszk kiegészítők</v>
      </c>
    </row>
    <row r="116" spans="1:48" ht="30" customHeight="1" x14ac:dyDescent="0.3">
      <c r="A116" s="79"/>
      <c r="B116" s="79" t="s">
        <v>368</v>
      </c>
      <c r="C116" s="79" t="s">
        <v>163</v>
      </c>
      <c r="D116" s="80" t="s">
        <v>185</v>
      </c>
      <c r="E116" s="81" t="s">
        <v>370</v>
      </c>
      <c r="F116" s="80" t="s">
        <v>371</v>
      </c>
      <c r="G116" s="81" t="s">
        <v>372</v>
      </c>
      <c r="H116" s="81" t="s">
        <v>792</v>
      </c>
      <c r="I116" s="80" t="s">
        <v>190</v>
      </c>
      <c r="J116" s="79" t="s">
        <v>191</v>
      </c>
      <c r="K116" s="79" t="s">
        <v>2158</v>
      </c>
      <c r="L116" s="84" t="s">
        <v>4</v>
      </c>
      <c r="M116" s="85">
        <v>9519</v>
      </c>
      <c r="N116" s="95" t="s">
        <v>17</v>
      </c>
      <c r="O116" s="96">
        <v>41883</v>
      </c>
      <c r="P116" s="88" t="s">
        <v>597</v>
      </c>
      <c r="Q116" s="164" t="s">
        <v>2179</v>
      </c>
      <c r="R116" s="89" t="s">
        <v>913</v>
      </c>
      <c r="S116" s="90" t="s">
        <v>914</v>
      </c>
      <c r="T116" s="79"/>
      <c r="U116" s="79"/>
      <c r="V116" s="79"/>
      <c r="W116" s="79"/>
      <c r="X116" s="79"/>
      <c r="Y116" s="79"/>
      <c r="Z116" s="91"/>
      <c r="AA116" s="91"/>
      <c r="AB116" s="91"/>
      <c r="AC116" s="79"/>
      <c r="AD116" s="79"/>
      <c r="AE116" s="79"/>
      <c r="AF116" s="92"/>
      <c r="AG116" s="92"/>
      <c r="AH116" s="79"/>
      <c r="AI116" s="79"/>
      <c r="AJ116" s="92" t="s">
        <v>885</v>
      </c>
      <c r="AK116" s="79"/>
      <c r="AL116" s="79" t="s">
        <v>408</v>
      </c>
      <c r="AM116" s="92" t="s">
        <v>409</v>
      </c>
      <c r="AN116" s="92" t="s">
        <v>891</v>
      </c>
      <c r="AO116" s="92" t="s">
        <v>894</v>
      </c>
      <c r="AP116" s="92"/>
      <c r="AQ116" s="92" t="s">
        <v>1738</v>
      </c>
      <c r="AR116" s="92" t="s">
        <v>1739</v>
      </c>
      <c r="AS116" s="92" t="s">
        <v>1740</v>
      </c>
      <c r="AT116" s="79"/>
      <c r="AU116" s="79"/>
      <c r="AV116" s="92" t="str">
        <f>VLOOKUP(I116, Kiegészítő_Mátrix!C:E, 3, FALSE)</f>
        <v>Joyce Easy kiegészítők</v>
      </c>
    </row>
    <row r="117" spans="1:48" ht="30" customHeight="1" x14ac:dyDescent="0.3">
      <c r="A117" s="79"/>
      <c r="B117" s="79" t="s">
        <v>368</v>
      </c>
      <c r="C117" s="79" t="s">
        <v>163</v>
      </c>
      <c r="D117" s="80" t="s">
        <v>185</v>
      </c>
      <c r="E117" s="81" t="s">
        <v>370</v>
      </c>
      <c r="F117" s="80" t="s">
        <v>371</v>
      </c>
      <c r="G117" s="81" t="s">
        <v>372</v>
      </c>
      <c r="H117" s="81" t="s">
        <v>792</v>
      </c>
      <c r="I117" s="80" t="s">
        <v>192</v>
      </c>
      <c r="J117" s="79" t="s">
        <v>193</v>
      </c>
      <c r="K117" s="79" t="s">
        <v>2158</v>
      </c>
      <c r="L117" s="84" t="s">
        <v>4</v>
      </c>
      <c r="M117" s="85">
        <v>9519</v>
      </c>
      <c r="N117" s="95" t="s">
        <v>17</v>
      </c>
      <c r="O117" s="96">
        <v>41883</v>
      </c>
      <c r="P117" s="88" t="s">
        <v>598</v>
      </c>
      <c r="Q117" s="164" t="s">
        <v>2179</v>
      </c>
      <c r="R117" s="89" t="s">
        <v>913</v>
      </c>
      <c r="S117" s="90" t="s">
        <v>914</v>
      </c>
      <c r="T117" s="79"/>
      <c r="U117" s="79"/>
      <c r="V117" s="79"/>
      <c r="W117" s="79"/>
      <c r="X117" s="79"/>
      <c r="Y117" s="79"/>
      <c r="Z117" s="91"/>
      <c r="AA117" s="91"/>
      <c r="AB117" s="91"/>
      <c r="AC117" s="79"/>
      <c r="AD117" s="79"/>
      <c r="AE117" s="79"/>
      <c r="AF117" s="92"/>
      <c r="AG117" s="92"/>
      <c r="AH117" s="79"/>
      <c r="AI117" s="79"/>
      <c r="AJ117" s="92" t="s">
        <v>885</v>
      </c>
      <c r="AK117" s="79"/>
      <c r="AL117" s="79" t="s">
        <v>507</v>
      </c>
      <c r="AM117" s="92" t="s">
        <v>409</v>
      </c>
      <c r="AN117" s="92" t="s">
        <v>892</v>
      </c>
      <c r="AO117" s="92" t="s">
        <v>894</v>
      </c>
      <c r="AP117" s="92"/>
      <c r="AQ117" s="92" t="s">
        <v>1741</v>
      </c>
      <c r="AR117" s="92" t="s">
        <v>1742</v>
      </c>
      <c r="AS117" s="92" t="s">
        <v>1743</v>
      </c>
      <c r="AT117" s="79"/>
      <c r="AU117" s="79"/>
      <c r="AV117" s="92" t="str">
        <f>VLOOKUP(I117, Kiegészítő_Mátrix!C:E, 3, FALSE)</f>
        <v>Joyce Easy kiegészítők</v>
      </c>
    </row>
    <row r="118" spans="1:48" ht="30" customHeight="1" x14ac:dyDescent="0.3">
      <c r="A118" s="79"/>
      <c r="B118" s="79" t="s">
        <v>368</v>
      </c>
      <c r="C118" s="79" t="s">
        <v>163</v>
      </c>
      <c r="D118" s="80" t="s">
        <v>185</v>
      </c>
      <c r="E118" s="81" t="s">
        <v>370</v>
      </c>
      <c r="F118" s="80" t="s">
        <v>371</v>
      </c>
      <c r="G118" s="81" t="s">
        <v>372</v>
      </c>
      <c r="H118" s="81" t="s">
        <v>792</v>
      </c>
      <c r="I118" s="80" t="s">
        <v>194</v>
      </c>
      <c r="J118" s="79" t="s">
        <v>195</v>
      </c>
      <c r="K118" s="79" t="s">
        <v>2158</v>
      </c>
      <c r="L118" s="84" t="s">
        <v>4</v>
      </c>
      <c r="M118" s="85">
        <v>9519</v>
      </c>
      <c r="N118" s="95" t="s">
        <v>17</v>
      </c>
      <c r="O118" s="96">
        <v>41883</v>
      </c>
      <c r="P118" s="88" t="s">
        <v>599</v>
      </c>
      <c r="Q118" s="164" t="s">
        <v>2179</v>
      </c>
      <c r="R118" s="89" t="s">
        <v>913</v>
      </c>
      <c r="S118" s="90" t="s">
        <v>914</v>
      </c>
      <c r="T118" s="79"/>
      <c r="U118" s="79"/>
      <c r="V118" s="79"/>
      <c r="W118" s="79"/>
      <c r="X118" s="79"/>
      <c r="Y118" s="79"/>
      <c r="Z118" s="91"/>
      <c r="AA118" s="91"/>
      <c r="AB118" s="91"/>
      <c r="AC118" s="79"/>
      <c r="AD118" s="79"/>
      <c r="AE118" s="79"/>
      <c r="AF118" s="92"/>
      <c r="AG118" s="92"/>
      <c r="AH118" s="79"/>
      <c r="AI118" s="79"/>
      <c r="AJ118" s="92" t="s">
        <v>885</v>
      </c>
      <c r="AK118" s="79"/>
      <c r="AL118" s="79" t="s">
        <v>507</v>
      </c>
      <c r="AM118" s="92" t="s">
        <v>409</v>
      </c>
      <c r="AN118" s="92" t="s">
        <v>893</v>
      </c>
      <c r="AO118" s="92" t="s">
        <v>894</v>
      </c>
      <c r="AP118" s="92"/>
      <c r="AQ118" s="92" t="s">
        <v>1744</v>
      </c>
      <c r="AR118" s="92" t="s">
        <v>1745</v>
      </c>
      <c r="AS118" s="92" t="s">
        <v>1746</v>
      </c>
      <c r="AT118" s="79"/>
      <c r="AU118" s="79"/>
      <c r="AV118" s="92" t="str">
        <f>VLOOKUP(I118, Kiegészítő_Mátrix!C:E, 3, FALSE)</f>
        <v>Joyce Easy kiegészítők</v>
      </c>
    </row>
    <row r="119" spans="1:48" ht="72" x14ac:dyDescent="0.3">
      <c r="A119" s="79"/>
      <c r="B119" s="79" t="s">
        <v>368</v>
      </c>
      <c r="C119" s="79" t="s">
        <v>163</v>
      </c>
      <c r="D119" s="80" t="s">
        <v>185</v>
      </c>
      <c r="E119" s="81" t="s">
        <v>370</v>
      </c>
      <c r="F119" s="80" t="s">
        <v>371</v>
      </c>
      <c r="G119" s="81" t="s">
        <v>372</v>
      </c>
      <c r="H119" s="81" t="s">
        <v>793</v>
      </c>
      <c r="I119" s="80" t="s">
        <v>196</v>
      </c>
      <c r="J119" s="79" t="s">
        <v>197</v>
      </c>
      <c r="K119" s="79" t="s">
        <v>475</v>
      </c>
      <c r="L119" s="84" t="s">
        <v>4</v>
      </c>
      <c r="M119" s="85">
        <v>11131</v>
      </c>
      <c r="N119" s="95" t="s">
        <v>17</v>
      </c>
      <c r="O119" s="96">
        <v>41883</v>
      </c>
      <c r="P119" s="88"/>
      <c r="Q119" s="84" t="s">
        <v>5</v>
      </c>
      <c r="R119" s="89"/>
      <c r="S119" s="90"/>
      <c r="T119" s="79"/>
      <c r="U119" s="79"/>
      <c r="V119" s="79"/>
      <c r="W119" s="79"/>
      <c r="X119" s="79"/>
      <c r="Y119" s="79"/>
      <c r="Z119" s="91"/>
      <c r="AA119" s="91"/>
      <c r="AB119" s="91"/>
      <c r="AC119" s="79"/>
      <c r="AD119" s="79"/>
      <c r="AE119" s="79"/>
      <c r="AF119" s="92"/>
      <c r="AG119" s="92"/>
      <c r="AH119" s="79"/>
      <c r="AI119" s="79"/>
      <c r="AJ119" s="92"/>
      <c r="AK119" s="79"/>
      <c r="AL119" s="79"/>
      <c r="AM119" s="92"/>
      <c r="AN119" s="92"/>
      <c r="AO119" s="92"/>
      <c r="AP119" s="92"/>
      <c r="AQ119" s="92" t="s">
        <v>1810</v>
      </c>
      <c r="AR119" s="92" t="s">
        <v>1811</v>
      </c>
      <c r="AS119" s="92" t="s">
        <v>1812</v>
      </c>
      <c r="AT119" s="79"/>
      <c r="AU119" s="79"/>
      <c r="AV119" s="92" t="e">
        <f>VLOOKUP(I119, Kiegészítő_Mátrix!C:E, 3, FALSE)</f>
        <v>#N/A</v>
      </c>
    </row>
    <row r="120" spans="1:48" x14ac:dyDescent="0.3">
      <c r="A120" s="79"/>
      <c r="B120" s="79" t="s">
        <v>368</v>
      </c>
      <c r="C120" s="79" t="s">
        <v>163</v>
      </c>
      <c r="D120" s="80" t="s">
        <v>185</v>
      </c>
      <c r="E120" s="81" t="s">
        <v>370</v>
      </c>
      <c r="F120" s="80" t="s">
        <v>371</v>
      </c>
      <c r="G120" s="81" t="s">
        <v>372</v>
      </c>
      <c r="H120" s="81" t="s">
        <v>793</v>
      </c>
      <c r="I120" s="80" t="s">
        <v>198</v>
      </c>
      <c r="J120" s="79" t="s">
        <v>199</v>
      </c>
      <c r="K120" s="79" t="s">
        <v>475</v>
      </c>
      <c r="L120" s="84" t="s">
        <v>4</v>
      </c>
      <c r="M120" s="85">
        <v>3600</v>
      </c>
      <c r="N120" s="95" t="s">
        <v>17</v>
      </c>
      <c r="O120" s="96">
        <v>42248</v>
      </c>
      <c r="P120" s="88"/>
      <c r="Q120" s="84" t="s">
        <v>5</v>
      </c>
      <c r="R120" s="89"/>
      <c r="S120" s="90"/>
      <c r="T120" s="79"/>
      <c r="U120" s="79"/>
      <c r="V120" s="79"/>
      <c r="W120" s="79"/>
      <c r="X120" s="79"/>
      <c r="Y120" s="79"/>
      <c r="Z120" s="91"/>
      <c r="AA120" s="91"/>
      <c r="AB120" s="91"/>
      <c r="AC120" s="79"/>
      <c r="AD120" s="79"/>
      <c r="AE120" s="79"/>
      <c r="AF120" s="92"/>
      <c r="AG120" s="92"/>
      <c r="AH120" s="79"/>
      <c r="AI120" s="79"/>
      <c r="AJ120" s="92"/>
      <c r="AK120" s="79"/>
      <c r="AL120" s="79"/>
      <c r="AM120" s="92"/>
      <c r="AN120" s="92"/>
      <c r="AO120" s="92"/>
      <c r="AP120" s="92"/>
      <c r="AQ120" s="92"/>
      <c r="AR120" s="92"/>
      <c r="AS120" s="92"/>
      <c r="AT120" s="79"/>
      <c r="AU120" s="79"/>
      <c r="AV120" s="92" t="e">
        <f>VLOOKUP(I120, Kiegészítő_Mátrix!C:E, 3, FALSE)</f>
        <v>#N/A</v>
      </c>
    </row>
    <row r="121" spans="1:48" x14ac:dyDescent="0.3">
      <c r="A121" s="79"/>
      <c r="B121" s="79"/>
      <c r="C121" s="79"/>
      <c r="D121" s="80"/>
      <c r="E121" s="81"/>
      <c r="F121" s="80"/>
      <c r="G121" s="80"/>
      <c r="H121" s="81"/>
      <c r="I121" s="83"/>
      <c r="J121" s="79"/>
      <c r="K121" s="79"/>
      <c r="L121" s="84"/>
      <c r="M121" s="85"/>
      <c r="N121" s="86"/>
      <c r="O121" s="87"/>
      <c r="P121" s="91"/>
      <c r="Q121" s="84"/>
      <c r="R121" s="89"/>
      <c r="S121" s="90"/>
      <c r="T121" s="79"/>
      <c r="U121" s="79"/>
      <c r="V121" s="79"/>
      <c r="W121" s="79"/>
      <c r="X121" s="79"/>
      <c r="Y121" s="79"/>
      <c r="Z121" s="91"/>
      <c r="AA121" s="91"/>
      <c r="AB121" s="91"/>
      <c r="AC121" s="79"/>
      <c r="AD121" s="79"/>
      <c r="AE121" s="79"/>
      <c r="AF121" s="92"/>
      <c r="AG121" s="92"/>
      <c r="AH121" s="79"/>
      <c r="AI121" s="79"/>
      <c r="AJ121" s="92"/>
      <c r="AK121" s="79"/>
      <c r="AL121" s="79"/>
      <c r="AM121" s="92"/>
      <c r="AN121" s="92"/>
      <c r="AO121" s="92"/>
      <c r="AP121" s="92"/>
      <c r="AQ121" s="92"/>
      <c r="AR121" s="92"/>
      <c r="AS121" s="92"/>
      <c r="AT121" s="79"/>
      <c r="AU121" s="79"/>
      <c r="AV121" s="92" t="e">
        <f>VLOOKUP(I121, Kiegészítő_Mátrix!C:E, 3, FALSE)</f>
        <v>#N/A</v>
      </c>
    </row>
    <row r="122" spans="1:48" ht="30" customHeight="1" x14ac:dyDescent="0.3">
      <c r="A122" s="79"/>
      <c r="B122" s="79" t="s">
        <v>368</v>
      </c>
      <c r="C122" s="79" t="s">
        <v>163</v>
      </c>
      <c r="D122" s="80" t="s">
        <v>185</v>
      </c>
      <c r="E122" s="81" t="s">
        <v>370</v>
      </c>
      <c r="F122" s="80" t="s">
        <v>371</v>
      </c>
      <c r="G122" s="81" t="s">
        <v>372</v>
      </c>
      <c r="H122" s="81" t="s">
        <v>1285</v>
      </c>
      <c r="I122" s="80" t="s">
        <v>201</v>
      </c>
      <c r="J122" s="128" t="s">
        <v>999</v>
      </c>
      <c r="K122" s="128" t="s">
        <v>2158</v>
      </c>
      <c r="L122" s="80" t="s">
        <v>4</v>
      </c>
      <c r="M122" s="85">
        <v>9519</v>
      </c>
      <c r="N122" s="86" t="s">
        <v>17</v>
      </c>
      <c r="O122" s="87">
        <v>42370</v>
      </c>
      <c r="P122" s="91" t="s">
        <v>941</v>
      </c>
      <c r="Q122" s="84" t="s">
        <v>5</v>
      </c>
      <c r="R122" s="89" t="s">
        <v>915</v>
      </c>
      <c r="S122" s="90" t="s">
        <v>916</v>
      </c>
      <c r="T122" s="79"/>
      <c r="U122" s="79"/>
      <c r="V122" s="79"/>
      <c r="W122" s="79"/>
      <c r="X122" s="79"/>
      <c r="Y122" s="79"/>
      <c r="Z122" s="91"/>
      <c r="AA122" s="91"/>
      <c r="AB122" s="91"/>
      <c r="AC122" s="79"/>
      <c r="AD122" s="79"/>
      <c r="AE122" s="79"/>
      <c r="AF122" s="92"/>
      <c r="AG122" s="92"/>
      <c r="AH122" s="79"/>
      <c r="AI122" s="79"/>
      <c r="AJ122" s="92" t="s">
        <v>895</v>
      </c>
      <c r="AK122" s="79"/>
      <c r="AL122" s="79" t="s">
        <v>507</v>
      </c>
      <c r="AM122" s="92" t="s">
        <v>409</v>
      </c>
      <c r="AN122" s="92" t="s">
        <v>896</v>
      </c>
      <c r="AO122" s="92" t="s">
        <v>894</v>
      </c>
      <c r="AP122" s="92"/>
      <c r="AQ122" s="92" t="s">
        <v>1747</v>
      </c>
      <c r="AR122" s="92" t="s">
        <v>1748</v>
      </c>
      <c r="AS122" s="92" t="s">
        <v>1749</v>
      </c>
      <c r="AT122" s="79"/>
      <c r="AU122" s="79"/>
      <c r="AV122" s="92" t="str">
        <f>VLOOKUP(I122, Kiegészítő_Mátrix!C:E, 3, FALSE)</f>
        <v>Joyce ONE kiegészítők</v>
      </c>
    </row>
    <row r="123" spans="1:48" ht="30" customHeight="1" x14ac:dyDescent="0.3">
      <c r="A123" s="79"/>
      <c r="B123" s="79" t="s">
        <v>368</v>
      </c>
      <c r="C123" s="79" t="s">
        <v>163</v>
      </c>
      <c r="D123" s="80" t="s">
        <v>185</v>
      </c>
      <c r="E123" s="81" t="s">
        <v>370</v>
      </c>
      <c r="F123" s="80" t="s">
        <v>371</v>
      </c>
      <c r="G123" s="81" t="s">
        <v>372</v>
      </c>
      <c r="H123" s="81" t="s">
        <v>1286</v>
      </c>
      <c r="I123" s="147" t="s">
        <v>1278</v>
      </c>
      <c r="J123" s="148" t="s">
        <v>1287</v>
      </c>
      <c r="K123" s="148" t="s">
        <v>2158</v>
      </c>
      <c r="L123" s="149" t="s">
        <v>4</v>
      </c>
      <c r="M123" s="120">
        <v>17780</v>
      </c>
      <c r="N123" s="86" t="s">
        <v>17</v>
      </c>
      <c r="O123" s="87"/>
      <c r="P123" s="91" t="s">
        <v>597</v>
      </c>
      <c r="Q123" s="84"/>
      <c r="R123" s="89"/>
      <c r="S123" s="90"/>
      <c r="T123" s="79"/>
      <c r="U123" s="79"/>
      <c r="V123" s="79"/>
      <c r="W123" s="79"/>
      <c r="X123" s="79"/>
      <c r="Y123" s="79"/>
      <c r="Z123" s="91"/>
      <c r="AA123" s="91"/>
      <c r="AB123" s="91"/>
      <c r="AC123" s="79"/>
      <c r="AD123" s="79"/>
      <c r="AE123" s="79"/>
      <c r="AF123" s="92"/>
      <c r="AG123" s="92"/>
      <c r="AH123" s="79"/>
      <c r="AI123" s="79"/>
      <c r="AJ123" s="92"/>
      <c r="AK123" s="79"/>
      <c r="AL123" s="79"/>
      <c r="AM123" s="92"/>
      <c r="AN123" s="92"/>
      <c r="AO123" s="92"/>
      <c r="AP123" s="92"/>
      <c r="AQ123" s="92" t="s">
        <v>1750</v>
      </c>
      <c r="AR123" s="92" t="s">
        <v>1751</v>
      </c>
      <c r="AS123" s="92" t="s">
        <v>1752</v>
      </c>
      <c r="AT123" s="79"/>
      <c r="AU123" s="79"/>
      <c r="AV123" s="92" t="str">
        <f>VLOOKUP(I123, Kiegészítő_Mátrix!C:E, 3, FALSE)</f>
        <v>Julia kiegészítők</v>
      </c>
    </row>
    <row r="124" spans="1:48" ht="30" customHeight="1" x14ac:dyDescent="0.3">
      <c r="A124" s="79"/>
      <c r="B124" s="79" t="s">
        <v>368</v>
      </c>
      <c r="C124" s="79" t="s">
        <v>163</v>
      </c>
      <c r="D124" s="80" t="s">
        <v>185</v>
      </c>
      <c r="E124" s="81" t="s">
        <v>370</v>
      </c>
      <c r="F124" s="80" t="s">
        <v>371</v>
      </c>
      <c r="G124" s="81" t="s">
        <v>372</v>
      </c>
      <c r="H124" s="81" t="s">
        <v>1286</v>
      </c>
      <c r="I124" s="147" t="s">
        <v>1279</v>
      </c>
      <c r="J124" s="148" t="s">
        <v>1288</v>
      </c>
      <c r="K124" s="148" t="s">
        <v>2158</v>
      </c>
      <c r="L124" s="149" t="s">
        <v>4</v>
      </c>
      <c r="M124" s="120">
        <v>17780</v>
      </c>
      <c r="N124" s="86" t="s">
        <v>17</v>
      </c>
      <c r="O124" s="87"/>
      <c r="P124" s="91" t="s">
        <v>598</v>
      </c>
      <c r="Q124" s="84"/>
      <c r="R124" s="89"/>
      <c r="S124" s="90"/>
      <c r="T124" s="79"/>
      <c r="U124" s="79"/>
      <c r="V124" s="79"/>
      <c r="W124" s="79"/>
      <c r="X124" s="79"/>
      <c r="Y124" s="79"/>
      <c r="Z124" s="91"/>
      <c r="AA124" s="91"/>
      <c r="AB124" s="91"/>
      <c r="AC124" s="79"/>
      <c r="AD124" s="79"/>
      <c r="AE124" s="79"/>
      <c r="AF124" s="92"/>
      <c r="AG124" s="92"/>
      <c r="AH124" s="79"/>
      <c r="AI124" s="79"/>
      <c r="AJ124" s="92"/>
      <c r="AK124" s="79"/>
      <c r="AL124" s="79"/>
      <c r="AM124" s="92"/>
      <c r="AN124" s="92"/>
      <c r="AO124" s="92"/>
      <c r="AP124" s="92"/>
      <c r="AQ124" s="92" t="s">
        <v>1753</v>
      </c>
      <c r="AR124" s="92" t="s">
        <v>1754</v>
      </c>
      <c r="AS124" s="92" t="s">
        <v>1755</v>
      </c>
      <c r="AT124" s="79"/>
      <c r="AU124" s="79"/>
      <c r="AV124" s="92" t="str">
        <f>VLOOKUP(I124, Kiegészítő_Mátrix!C:E, 3, FALSE)</f>
        <v>Julia kiegészítők</v>
      </c>
    </row>
    <row r="125" spans="1:48" ht="30" customHeight="1" x14ac:dyDescent="0.3">
      <c r="A125" s="79"/>
      <c r="B125" s="79" t="s">
        <v>368</v>
      </c>
      <c r="C125" s="79" t="s">
        <v>163</v>
      </c>
      <c r="D125" s="80" t="s">
        <v>185</v>
      </c>
      <c r="E125" s="81" t="s">
        <v>370</v>
      </c>
      <c r="F125" s="80" t="s">
        <v>371</v>
      </c>
      <c r="G125" s="81" t="s">
        <v>372</v>
      </c>
      <c r="H125" s="81" t="s">
        <v>1286</v>
      </c>
      <c r="I125" s="147" t="s">
        <v>1280</v>
      </c>
      <c r="J125" s="148" t="s">
        <v>1289</v>
      </c>
      <c r="K125" s="148" t="s">
        <v>2158</v>
      </c>
      <c r="L125" s="149" t="s">
        <v>4</v>
      </c>
      <c r="M125" s="120">
        <v>17780</v>
      </c>
      <c r="N125" s="86" t="s">
        <v>17</v>
      </c>
      <c r="O125" s="87"/>
      <c r="P125" s="91" t="s">
        <v>599</v>
      </c>
      <c r="Q125" s="84"/>
      <c r="R125" s="89"/>
      <c r="S125" s="90"/>
      <c r="T125" s="79"/>
      <c r="U125" s="79"/>
      <c r="V125" s="79"/>
      <c r="W125" s="79"/>
      <c r="X125" s="79"/>
      <c r="Y125" s="79"/>
      <c r="Z125" s="91"/>
      <c r="AA125" s="91"/>
      <c r="AB125" s="91"/>
      <c r="AC125" s="79"/>
      <c r="AD125" s="79"/>
      <c r="AE125" s="79"/>
      <c r="AF125" s="92"/>
      <c r="AG125" s="92"/>
      <c r="AH125" s="79"/>
      <c r="AI125" s="79"/>
      <c r="AJ125" s="92"/>
      <c r="AK125" s="79"/>
      <c r="AL125" s="79"/>
      <c r="AM125" s="92"/>
      <c r="AN125" s="92"/>
      <c r="AO125" s="92"/>
      <c r="AP125" s="92"/>
      <c r="AQ125" s="92" t="s">
        <v>1756</v>
      </c>
      <c r="AR125" s="92" t="s">
        <v>1757</v>
      </c>
      <c r="AS125" s="92" t="s">
        <v>1758</v>
      </c>
      <c r="AT125" s="79"/>
      <c r="AU125" s="79"/>
      <c r="AV125" s="92" t="str">
        <f>VLOOKUP(I125, Kiegészítő_Mátrix!C:E, 3, FALSE)</f>
        <v>Julia kiegészítők</v>
      </c>
    </row>
    <row r="126" spans="1:48" s="11" customFormat="1" ht="29.4" customHeight="1" x14ac:dyDescent="0.3">
      <c r="A126" s="150"/>
      <c r="B126" s="79" t="s">
        <v>368</v>
      </c>
      <c r="C126" s="79" t="s">
        <v>163</v>
      </c>
      <c r="D126" s="80" t="s">
        <v>185</v>
      </c>
      <c r="E126" s="81" t="s">
        <v>370</v>
      </c>
      <c r="F126" s="80" t="s">
        <v>371</v>
      </c>
      <c r="G126" s="81" t="s">
        <v>372</v>
      </c>
      <c r="H126" s="81" t="s">
        <v>794</v>
      </c>
      <c r="I126" s="80">
        <v>1125035</v>
      </c>
      <c r="J126" s="79" t="s">
        <v>1000</v>
      </c>
      <c r="K126" s="79" t="s">
        <v>475</v>
      </c>
      <c r="L126" s="84" t="s">
        <v>16</v>
      </c>
      <c r="M126" s="85">
        <v>23470</v>
      </c>
      <c r="N126" s="95" t="s">
        <v>17</v>
      </c>
      <c r="O126" s="96">
        <v>43344</v>
      </c>
      <c r="P126" s="91" t="s">
        <v>597</v>
      </c>
      <c r="Q126" s="84" t="s">
        <v>5</v>
      </c>
      <c r="R126" s="151"/>
      <c r="S126" s="152"/>
      <c r="T126" s="150"/>
      <c r="U126" s="150"/>
      <c r="V126" s="150"/>
      <c r="W126" s="150"/>
      <c r="X126" s="150"/>
      <c r="Y126" s="150"/>
      <c r="Z126" s="153"/>
      <c r="AA126" s="153"/>
      <c r="AB126" s="153"/>
      <c r="AC126" s="150"/>
      <c r="AD126" s="150"/>
      <c r="AE126" s="150"/>
      <c r="AF126" s="154"/>
      <c r="AG126" s="154"/>
      <c r="AH126" s="150"/>
      <c r="AI126" s="150"/>
      <c r="AJ126" s="154"/>
      <c r="AK126" s="150"/>
      <c r="AL126" s="150"/>
      <c r="AM126" s="154"/>
      <c r="AN126" s="154"/>
      <c r="AO126" s="154"/>
      <c r="AP126" s="154"/>
      <c r="AQ126" s="92" t="s">
        <v>1813</v>
      </c>
      <c r="AR126" s="92" t="s">
        <v>1814</v>
      </c>
      <c r="AS126" s="92" t="s">
        <v>1815</v>
      </c>
      <c r="AT126" s="150"/>
      <c r="AU126" s="150"/>
      <c r="AV126" s="154" t="e">
        <f>VLOOKUP(I126, Kiegészítő_Mátrix!C:E, 3, FALSE)</f>
        <v>#N/A</v>
      </c>
    </row>
    <row r="127" spans="1:48" s="11" customFormat="1" ht="29.4" customHeight="1" x14ac:dyDescent="0.3">
      <c r="A127" s="150"/>
      <c r="B127" s="79" t="s">
        <v>368</v>
      </c>
      <c r="C127" s="79" t="s">
        <v>163</v>
      </c>
      <c r="D127" s="80" t="s">
        <v>185</v>
      </c>
      <c r="E127" s="81" t="s">
        <v>370</v>
      </c>
      <c r="F127" s="80" t="s">
        <v>371</v>
      </c>
      <c r="G127" s="81" t="s">
        <v>372</v>
      </c>
      <c r="H127" s="81" t="s">
        <v>794</v>
      </c>
      <c r="I127" s="80">
        <v>1125036</v>
      </c>
      <c r="J127" s="79" t="s">
        <v>1001</v>
      </c>
      <c r="K127" s="79" t="s">
        <v>475</v>
      </c>
      <c r="L127" s="84" t="s">
        <v>16</v>
      </c>
      <c r="M127" s="85">
        <v>23470</v>
      </c>
      <c r="N127" s="95" t="s">
        <v>17</v>
      </c>
      <c r="O127" s="96">
        <v>43344</v>
      </c>
      <c r="P127" s="88" t="s">
        <v>598</v>
      </c>
      <c r="Q127" s="84" t="s">
        <v>5</v>
      </c>
      <c r="R127" s="151"/>
      <c r="S127" s="152"/>
      <c r="T127" s="150"/>
      <c r="U127" s="150"/>
      <c r="V127" s="150"/>
      <c r="W127" s="150"/>
      <c r="X127" s="150"/>
      <c r="Y127" s="150"/>
      <c r="Z127" s="153"/>
      <c r="AA127" s="153"/>
      <c r="AB127" s="153"/>
      <c r="AC127" s="150"/>
      <c r="AD127" s="150"/>
      <c r="AE127" s="150"/>
      <c r="AF127" s="154"/>
      <c r="AG127" s="154"/>
      <c r="AH127" s="150"/>
      <c r="AI127" s="150"/>
      <c r="AJ127" s="154"/>
      <c r="AK127" s="150"/>
      <c r="AL127" s="150"/>
      <c r="AM127" s="154"/>
      <c r="AN127" s="154"/>
      <c r="AO127" s="154"/>
      <c r="AP127" s="154"/>
      <c r="AQ127" s="92" t="s">
        <v>1816</v>
      </c>
      <c r="AR127" s="92" t="s">
        <v>1817</v>
      </c>
      <c r="AS127" s="92" t="s">
        <v>1818</v>
      </c>
      <c r="AT127" s="150"/>
      <c r="AU127" s="150"/>
      <c r="AV127" s="154" t="e">
        <f>VLOOKUP(I127, Kiegészítő_Mátrix!C:E, 3, FALSE)</f>
        <v>#N/A</v>
      </c>
    </row>
    <row r="128" spans="1:48" s="11" customFormat="1" ht="29.4" customHeight="1" x14ac:dyDescent="0.3">
      <c r="A128" s="150"/>
      <c r="B128" s="79" t="s">
        <v>368</v>
      </c>
      <c r="C128" s="79" t="s">
        <v>163</v>
      </c>
      <c r="D128" s="80" t="s">
        <v>185</v>
      </c>
      <c r="E128" s="81" t="s">
        <v>370</v>
      </c>
      <c r="F128" s="80" t="s">
        <v>371</v>
      </c>
      <c r="G128" s="81" t="s">
        <v>372</v>
      </c>
      <c r="H128" s="81" t="s">
        <v>794</v>
      </c>
      <c r="I128" s="80">
        <v>1125037</v>
      </c>
      <c r="J128" s="79" t="s">
        <v>1002</v>
      </c>
      <c r="K128" s="79" t="s">
        <v>475</v>
      </c>
      <c r="L128" s="84" t="s">
        <v>16</v>
      </c>
      <c r="M128" s="85">
        <v>23470</v>
      </c>
      <c r="N128" s="95" t="s">
        <v>17</v>
      </c>
      <c r="O128" s="96">
        <v>43344</v>
      </c>
      <c r="P128" s="88" t="s">
        <v>599</v>
      </c>
      <c r="Q128" s="84" t="s">
        <v>5</v>
      </c>
      <c r="R128" s="151"/>
      <c r="S128" s="152"/>
      <c r="T128" s="150"/>
      <c r="U128" s="150"/>
      <c r="V128" s="150"/>
      <c r="W128" s="150"/>
      <c r="X128" s="150"/>
      <c r="Y128" s="150"/>
      <c r="Z128" s="153"/>
      <c r="AA128" s="153"/>
      <c r="AB128" s="153"/>
      <c r="AC128" s="150"/>
      <c r="AD128" s="150"/>
      <c r="AE128" s="150"/>
      <c r="AF128" s="154"/>
      <c r="AG128" s="154"/>
      <c r="AH128" s="150"/>
      <c r="AI128" s="150"/>
      <c r="AJ128" s="154"/>
      <c r="AK128" s="150"/>
      <c r="AL128" s="150"/>
      <c r="AM128" s="154"/>
      <c r="AN128" s="154"/>
      <c r="AO128" s="154"/>
      <c r="AP128" s="154"/>
      <c r="AQ128" s="92" t="s">
        <v>1819</v>
      </c>
      <c r="AR128" s="92" t="s">
        <v>1820</v>
      </c>
      <c r="AS128" s="92" t="s">
        <v>1821</v>
      </c>
      <c r="AT128" s="150"/>
      <c r="AU128" s="150"/>
      <c r="AV128" s="154" t="e">
        <f>VLOOKUP(I128, Kiegészítő_Mátrix!C:E, 3, FALSE)</f>
        <v>#N/A</v>
      </c>
    </row>
    <row r="129" spans="1:48" ht="30" customHeight="1" x14ac:dyDescent="0.3">
      <c r="A129" s="79"/>
      <c r="B129" s="79" t="s">
        <v>368</v>
      </c>
      <c r="C129" s="79" t="s">
        <v>163</v>
      </c>
      <c r="D129" s="80" t="s">
        <v>185</v>
      </c>
      <c r="E129" s="81" t="s">
        <v>370</v>
      </c>
      <c r="F129" s="80" t="s">
        <v>371</v>
      </c>
      <c r="G129" s="81" t="s">
        <v>372</v>
      </c>
      <c r="H129" s="81" t="s">
        <v>1268</v>
      </c>
      <c r="I129" s="80">
        <v>1116740</v>
      </c>
      <c r="J129" s="79" t="s">
        <v>901</v>
      </c>
      <c r="K129" s="79" t="s">
        <v>2158</v>
      </c>
      <c r="L129" s="84" t="s">
        <v>16</v>
      </c>
      <c r="M129" s="85">
        <v>23495</v>
      </c>
      <c r="N129" s="95" t="s">
        <v>17</v>
      </c>
      <c r="O129" s="96">
        <v>43344</v>
      </c>
      <c r="P129" s="88" t="s">
        <v>597</v>
      </c>
      <c r="Q129" s="84" t="s">
        <v>5</v>
      </c>
      <c r="R129" s="89" t="s">
        <v>917</v>
      </c>
      <c r="S129" s="90" t="s">
        <v>918</v>
      </c>
      <c r="T129" s="79"/>
      <c r="U129" s="79"/>
      <c r="V129" s="79"/>
      <c r="W129" s="79"/>
      <c r="X129" s="79"/>
      <c r="Y129" s="79"/>
      <c r="Z129" s="91"/>
      <c r="AA129" s="91"/>
      <c r="AB129" s="91"/>
      <c r="AC129" s="79"/>
      <c r="AD129" s="79"/>
      <c r="AE129" s="79"/>
      <c r="AF129" s="92"/>
      <c r="AG129" s="92"/>
      <c r="AH129" s="79"/>
      <c r="AI129" s="79"/>
      <c r="AJ129" s="92" t="s">
        <v>885</v>
      </c>
      <c r="AK129" s="79"/>
      <c r="AL129" s="79" t="s">
        <v>507</v>
      </c>
      <c r="AM129" s="92" t="s">
        <v>409</v>
      </c>
      <c r="AN129" s="92" t="s">
        <v>905</v>
      </c>
      <c r="AO129" s="92" t="s">
        <v>904</v>
      </c>
      <c r="AP129" s="92"/>
      <c r="AQ129" s="92" t="s">
        <v>1759</v>
      </c>
      <c r="AR129" s="92" t="s">
        <v>1760</v>
      </c>
      <c r="AS129" s="92" t="s">
        <v>1761</v>
      </c>
      <c r="AT129" s="79"/>
      <c r="AU129" s="79"/>
      <c r="AV129" s="92" t="str">
        <f>VLOOKUP(I129, Kiegészítő_Mátrix!C:E, 3, FALSE)</f>
        <v>Dreamwear kiegészítők</v>
      </c>
    </row>
    <row r="130" spans="1:48" ht="30" customHeight="1" x14ac:dyDescent="0.3">
      <c r="A130" s="79"/>
      <c r="B130" s="79" t="s">
        <v>368</v>
      </c>
      <c r="C130" s="79" t="s">
        <v>163</v>
      </c>
      <c r="D130" s="80" t="s">
        <v>185</v>
      </c>
      <c r="E130" s="81" t="s">
        <v>370</v>
      </c>
      <c r="F130" s="80" t="s">
        <v>371</v>
      </c>
      <c r="G130" s="81" t="s">
        <v>372</v>
      </c>
      <c r="H130" s="81" t="s">
        <v>1268</v>
      </c>
      <c r="I130" s="80">
        <v>1116741</v>
      </c>
      <c r="J130" s="79" t="s">
        <v>900</v>
      </c>
      <c r="K130" s="79" t="s">
        <v>2158</v>
      </c>
      <c r="L130" s="84" t="s">
        <v>16</v>
      </c>
      <c r="M130" s="85">
        <v>23495</v>
      </c>
      <c r="N130" s="95" t="s">
        <v>17</v>
      </c>
      <c r="O130" s="96">
        <v>43344</v>
      </c>
      <c r="P130" s="88" t="s">
        <v>598</v>
      </c>
      <c r="Q130" s="84" t="s">
        <v>5</v>
      </c>
      <c r="R130" s="89" t="s">
        <v>917</v>
      </c>
      <c r="S130" s="90" t="s">
        <v>918</v>
      </c>
      <c r="T130" s="79"/>
      <c r="U130" s="79"/>
      <c r="V130" s="79"/>
      <c r="W130" s="79"/>
      <c r="X130" s="79"/>
      <c r="Y130" s="79"/>
      <c r="Z130" s="91"/>
      <c r="AA130" s="91"/>
      <c r="AB130" s="91"/>
      <c r="AC130" s="79"/>
      <c r="AD130" s="79"/>
      <c r="AE130" s="79"/>
      <c r="AF130" s="92"/>
      <c r="AG130" s="92"/>
      <c r="AH130" s="79"/>
      <c r="AI130" s="79"/>
      <c r="AJ130" s="92" t="s">
        <v>885</v>
      </c>
      <c r="AK130" s="79"/>
      <c r="AL130" s="79" t="s">
        <v>507</v>
      </c>
      <c r="AM130" s="92" t="s">
        <v>409</v>
      </c>
      <c r="AN130" s="92" t="s">
        <v>905</v>
      </c>
      <c r="AO130" s="92" t="s">
        <v>904</v>
      </c>
      <c r="AP130" s="92"/>
      <c r="AQ130" s="92" t="s">
        <v>1762</v>
      </c>
      <c r="AR130" s="92" t="s">
        <v>1763</v>
      </c>
      <c r="AS130" s="92" t="s">
        <v>1764</v>
      </c>
      <c r="AT130" s="79"/>
      <c r="AU130" s="79"/>
      <c r="AV130" s="92" t="str">
        <f>VLOOKUP(I130, Kiegészítő_Mátrix!C:E, 3, FALSE)</f>
        <v>Dreamwear kiegészítők</v>
      </c>
    </row>
    <row r="131" spans="1:48" ht="30" customHeight="1" x14ac:dyDescent="0.3">
      <c r="A131" s="79"/>
      <c r="B131" s="79" t="s">
        <v>368</v>
      </c>
      <c r="C131" s="79" t="s">
        <v>163</v>
      </c>
      <c r="D131" s="80" t="s">
        <v>185</v>
      </c>
      <c r="E131" s="81" t="s">
        <v>370</v>
      </c>
      <c r="F131" s="80" t="s">
        <v>371</v>
      </c>
      <c r="G131" s="81" t="s">
        <v>372</v>
      </c>
      <c r="H131" s="81" t="s">
        <v>1268</v>
      </c>
      <c r="I131" s="80">
        <v>1116742</v>
      </c>
      <c r="J131" s="79" t="s">
        <v>899</v>
      </c>
      <c r="K131" s="79" t="s">
        <v>2158</v>
      </c>
      <c r="L131" s="84" t="s">
        <v>16</v>
      </c>
      <c r="M131" s="85">
        <v>23495</v>
      </c>
      <c r="N131" s="95" t="s">
        <v>17</v>
      </c>
      <c r="O131" s="96">
        <v>43344</v>
      </c>
      <c r="P131" s="88" t="s">
        <v>599</v>
      </c>
      <c r="Q131" s="84" t="s">
        <v>5</v>
      </c>
      <c r="R131" s="89" t="s">
        <v>917</v>
      </c>
      <c r="S131" s="90" t="s">
        <v>918</v>
      </c>
      <c r="T131" s="79"/>
      <c r="U131" s="79"/>
      <c r="V131" s="79"/>
      <c r="W131" s="79"/>
      <c r="X131" s="79"/>
      <c r="Y131" s="79"/>
      <c r="Z131" s="91"/>
      <c r="AA131" s="91"/>
      <c r="AB131" s="91"/>
      <c r="AC131" s="79"/>
      <c r="AD131" s="79"/>
      <c r="AE131" s="79"/>
      <c r="AF131" s="92"/>
      <c r="AG131" s="92"/>
      <c r="AH131" s="79"/>
      <c r="AI131" s="79"/>
      <c r="AJ131" s="92" t="s">
        <v>885</v>
      </c>
      <c r="AK131" s="79"/>
      <c r="AL131" s="79" t="s">
        <v>507</v>
      </c>
      <c r="AM131" s="92" t="s">
        <v>409</v>
      </c>
      <c r="AN131" s="92" t="s">
        <v>905</v>
      </c>
      <c r="AO131" s="92" t="s">
        <v>904</v>
      </c>
      <c r="AP131" s="92"/>
      <c r="AQ131" s="92" t="s">
        <v>1765</v>
      </c>
      <c r="AR131" s="92" t="s">
        <v>1766</v>
      </c>
      <c r="AS131" s="92" t="s">
        <v>1767</v>
      </c>
      <c r="AT131" s="79"/>
      <c r="AU131" s="79"/>
      <c r="AV131" s="92" t="str">
        <f>VLOOKUP(I131, Kiegészítő_Mátrix!C:E, 3, FALSE)</f>
        <v>Dreamwear kiegészítők</v>
      </c>
    </row>
    <row r="132" spans="1:48" ht="30" customHeight="1" x14ac:dyDescent="0.3">
      <c r="A132" s="79"/>
      <c r="B132" s="79" t="s">
        <v>368</v>
      </c>
      <c r="C132" s="79" t="s">
        <v>163</v>
      </c>
      <c r="D132" s="80" t="s">
        <v>185</v>
      </c>
      <c r="E132" s="81" t="s">
        <v>370</v>
      </c>
      <c r="F132" s="80" t="s">
        <v>371</v>
      </c>
      <c r="G132" s="81" t="s">
        <v>372</v>
      </c>
      <c r="H132" s="81" t="s">
        <v>1268</v>
      </c>
      <c r="I132" s="80">
        <v>1116743</v>
      </c>
      <c r="J132" s="79" t="s">
        <v>898</v>
      </c>
      <c r="K132" s="79" t="s">
        <v>2158</v>
      </c>
      <c r="L132" s="84" t="s">
        <v>16</v>
      </c>
      <c r="M132" s="85">
        <v>23495</v>
      </c>
      <c r="N132" s="95" t="s">
        <v>17</v>
      </c>
      <c r="O132" s="96">
        <v>43344</v>
      </c>
      <c r="P132" s="88" t="s">
        <v>771</v>
      </c>
      <c r="Q132" s="84" t="s">
        <v>5</v>
      </c>
      <c r="R132" s="89" t="s">
        <v>917</v>
      </c>
      <c r="S132" s="90" t="s">
        <v>918</v>
      </c>
      <c r="T132" s="79"/>
      <c r="U132" s="79"/>
      <c r="V132" s="79"/>
      <c r="W132" s="79"/>
      <c r="X132" s="79"/>
      <c r="Y132" s="79"/>
      <c r="Z132" s="91"/>
      <c r="AA132" s="91"/>
      <c r="AB132" s="91"/>
      <c r="AC132" s="79"/>
      <c r="AD132" s="79"/>
      <c r="AE132" s="79"/>
      <c r="AF132" s="92"/>
      <c r="AG132" s="92"/>
      <c r="AH132" s="79"/>
      <c r="AI132" s="79"/>
      <c r="AJ132" s="92" t="s">
        <v>885</v>
      </c>
      <c r="AK132" s="79"/>
      <c r="AL132" s="79" t="s">
        <v>507</v>
      </c>
      <c r="AM132" s="92" t="s">
        <v>409</v>
      </c>
      <c r="AN132" s="92" t="s">
        <v>905</v>
      </c>
      <c r="AO132" s="92" t="s">
        <v>904</v>
      </c>
      <c r="AP132" s="92"/>
      <c r="AQ132" s="154" t="s">
        <v>1768</v>
      </c>
      <c r="AR132" s="154" t="s">
        <v>1769</v>
      </c>
      <c r="AS132" s="154" t="s">
        <v>1770</v>
      </c>
      <c r="AT132" s="79"/>
      <c r="AU132" s="79"/>
      <c r="AV132" s="92" t="str">
        <f>VLOOKUP(I132, Kiegészítő_Mátrix!C:E, 3, FALSE)</f>
        <v>Dreamwear kiegészítők</v>
      </c>
    </row>
    <row r="133" spans="1:48" ht="30" customHeight="1" x14ac:dyDescent="0.3">
      <c r="A133" s="79"/>
      <c r="B133" s="79" t="s">
        <v>368</v>
      </c>
      <c r="C133" s="79" t="s">
        <v>163</v>
      </c>
      <c r="D133" s="80" t="s">
        <v>185</v>
      </c>
      <c r="E133" s="81" t="s">
        <v>370</v>
      </c>
      <c r="F133" s="80" t="s">
        <v>371</v>
      </c>
      <c r="G133" s="81" t="s">
        <v>372</v>
      </c>
      <c r="H133" s="81" t="s">
        <v>1269</v>
      </c>
      <c r="I133" s="80">
        <v>1146472</v>
      </c>
      <c r="J133" s="79" t="s">
        <v>897</v>
      </c>
      <c r="K133" s="79" t="s">
        <v>2158</v>
      </c>
      <c r="L133" s="84" t="s">
        <v>16</v>
      </c>
      <c r="M133" s="85">
        <v>23495</v>
      </c>
      <c r="N133" s="95" t="s">
        <v>17</v>
      </c>
      <c r="O133" s="96">
        <v>45871</v>
      </c>
      <c r="P133" s="88" t="s">
        <v>597</v>
      </c>
      <c r="Q133" s="84" t="s">
        <v>17</v>
      </c>
      <c r="R133" s="89" t="s">
        <v>917</v>
      </c>
      <c r="S133" s="90" t="s">
        <v>919</v>
      </c>
      <c r="T133" s="79"/>
      <c r="U133" s="79"/>
      <c r="V133" s="79"/>
      <c r="W133" s="79"/>
      <c r="X133" s="79"/>
      <c r="Y133" s="79"/>
      <c r="Z133" s="91"/>
      <c r="AA133" s="91"/>
      <c r="AB133" s="91"/>
      <c r="AC133" s="79"/>
      <c r="AD133" s="79"/>
      <c r="AE133" s="79"/>
      <c r="AF133" s="92"/>
      <c r="AG133" s="92"/>
      <c r="AH133" s="79"/>
      <c r="AI133" s="79"/>
      <c r="AJ133" s="92" t="s">
        <v>885</v>
      </c>
      <c r="AK133" s="79"/>
      <c r="AL133" s="79" t="s">
        <v>507</v>
      </c>
      <c r="AM133" s="92" t="s">
        <v>409</v>
      </c>
      <c r="AN133" s="92" t="s">
        <v>906</v>
      </c>
      <c r="AO133" s="92" t="s">
        <v>904</v>
      </c>
      <c r="AP133" s="92"/>
      <c r="AQ133" s="154" t="s">
        <v>1771</v>
      </c>
      <c r="AR133" s="154" t="s">
        <v>1772</v>
      </c>
      <c r="AS133" s="154" t="s">
        <v>1773</v>
      </c>
      <c r="AT133" s="79"/>
      <c r="AU133" s="79"/>
      <c r="AV133" s="92" t="str">
        <f>VLOOKUP(I133, Kiegészítő_Mátrix!C:E, 3, FALSE)</f>
        <v>Dreamwear kiegészítők</v>
      </c>
    </row>
    <row r="134" spans="1:48" ht="30" customHeight="1" x14ac:dyDescent="0.3">
      <c r="A134" s="79"/>
      <c r="B134" s="79" t="s">
        <v>368</v>
      </c>
      <c r="C134" s="79" t="s">
        <v>163</v>
      </c>
      <c r="D134" s="80" t="s">
        <v>185</v>
      </c>
      <c r="E134" s="81" t="s">
        <v>370</v>
      </c>
      <c r="F134" s="80" t="s">
        <v>371</v>
      </c>
      <c r="G134" s="81" t="s">
        <v>372</v>
      </c>
      <c r="H134" s="81" t="s">
        <v>1269</v>
      </c>
      <c r="I134" s="80">
        <v>1146473</v>
      </c>
      <c r="J134" s="79" t="s">
        <v>902</v>
      </c>
      <c r="K134" s="79" t="s">
        <v>2158</v>
      </c>
      <c r="L134" s="84" t="s">
        <v>16</v>
      </c>
      <c r="M134" s="85">
        <v>23495</v>
      </c>
      <c r="N134" s="95" t="s">
        <v>17</v>
      </c>
      <c r="O134" s="96">
        <v>45871</v>
      </c>
      <c r="P134" s="88" t="s">
        <v>598</v>
      </c>
      <c r="Q134" s="84" t="s">
        <v>17</v>
      </c>
      <c r="R134" s="89" t="s">
        <v>917</v>
      </c>
      <c r="S134" s="90" t="s">
        <v>919</v>
      </c>
      <c r="T134" s="79"/>
      <c r="U134" s="79"/>
      <c r="V134" s="79"/>
      <c r="W134" s="79"/>
      <c r="X134" s="79"/>
      <c r="Y134" s="79"/>
      <c r="Z134" s="91"/>
      <c r="AA134" s="91"/>
      <c r="AB134" s="91"/>
      <c r="AC134" s="79"/>
      <c r="AD134" s="79"/>
      <c r="AE134" s="79"/>
      <c r="AF134" s="92"/>
      <c r="AG134" s="92"/>
      <c r="AH134" s="79"/>
      <c r="AI134" s="79"/>
      <c r="AJ134" s="92" t="s">
        <v>885</v>
      </c>
      <c r="AK134" s="79"/>
      <c r="AL134" s="79" t="s">
        <v>507</v>
      </c>
      <c r="AM134" s="92" t="s">
        <v>409</v>
      </c>
      <c r="AN134" s="92" t="s">
        <v>906</v>
      </c>
      <c r="AO134" s="92" t="s">
        <v>904</v>
      </c>
      <c r="AP134" s="92"/>
      <c r="AQ134" s="154" t="s">
        <v>1774</v>
      </c>
      <c r="AR134" s="154" t="s">
        <v>1775</v>
      </c>
      <c r="AS134" s="154" t="s">
        <v>1776</v>
      </c>
      <c r="AT134" s="79"/>
      <c r="AU134" s="79"/>
      <c r="AV134" s="92" t="str">
        <f>VLOOKUP(I134, Kiegészítő_Mátrix!C:E, 3, FALSE)</f>
        <v>Dreamwear kiegészítők</v>
      </c>
    </row>
    <row r="135" spans="1:48" ht="30" customHeight="1" x14ac:dyDescent="0.3">
      <c r="A135" s="79"/>
      <c r="B135" s="79" t="s">
        <v>368</v>
      </c>
      <c r="C135" s="79" t="s">
        <v>163</v>
      </c>
      <c r="D135" s="80" t="s">
        <v>185</v>
      </c>
      <c r="E135" s="81" t="s">
        <v>370</v>
      </c>
      <c r="F135" s="80" t="s">
        <v>371</v>
      </c>
      <c r="G135" s="81" t="s">
        <v>372</v>
      </c>
      <c r="H135" s="81" t="s">
        <v>1269</v>
      </c>
      <c r="I135" s="80">
        <v>1146474</v>
      </c>
      <c r="J135" s="79" t="s">
        <v>903</v>
      </c>
      <c r="K135" s="79" t="s">
        <v>2158</v>
      </c>
      <c r="L135" s="84" t="s">
        <v>16</v>
      </c>
      <c r="M135" s="85">
        <v>23495</v>
      </c>
      <c r="N135" s="95" t="s">
        <v>17</v>
      </c>
      <c r="O135" s="96">
        <v>45871</v>
      </c>
      <c r="P135" s="88" t="s">
        <v>599</v>
      </c>
      <c r="Q135" s="84" t="s">
        <v>17</v>
      </c>
      <c r="R135" s="89" t="s">
        <v>917</v>
      </c>
      <c r="S135" s="90" t="s">
        <v>919</v>
      </c>
      <c r="T135" s="79"/>
      <c r="U135" s="79"/>
      <c r="V135" s="79"/>
      <c r="W135" s="79"/>
      <c r="X135" s="79"/>
      <c r="Y135" s="79"/>
      <c r="Z135" s="91"/>
      <c r="AA135" s="91"/>
      <c r="AB135" s="91"/>
      <c r="AC135" s="79"/>
      <c r="AD135" s="79"/>
      <c r="AE135" s="79"/>
      <c r="AF135" s="92"/>
      <c r="AG135" s="92"/>
      <c r="AH135" s="79"/>
      <c r="AI135" s="79"/>
      <c r="AJ135" s="92" t="s">
        <v>885</v>
      </c>
      <c r="AK135" s="79"/>
      <c r="AL135" s="79" t="s">
        <v>507</v>
      </c>
      <c r="AM135" s="92" t="s">
        <v>409</v>
      </c>
      <c r="AN135" s="92" t="s">
        <v>906</v>
      </c>
      <c r="AO135" s="92" t="s">
        <v>904</v>
      </c>
      <c r="AP135" s="92"/>
      <c r="AQ135" s="92" t="s">
        <v>1777</v>
      </c>
      <c r="AR135" s="92" t="s">
        <v>1778</v>
      </c>
      <c r="AS135" s="92" t="s">
        <v>1779</v>
      </c>
      <c r="AT135" s="79"/>
      <c r="AU135" s="79"/>
      <c r="AV135" s="92" t="str">
        <f>VLOOKUP(I135, Kiegészítő_Mátrix!C:E, 3, FALSE)</f>
        <v>Dreamwear kiegészítők</v>
      </c>
    </row>
    <row r="136" spans="1:48" ht="30" customHeight="1" x14ac:dyDescent="0.3">
      <c r="A136" s="79"/>
      <c r="B136" s="79" t="s">
        <v>368</v>
      </c>
      <c r="C136" s="79" t="s">
        <v>163</v>
      </c>
      <c r="D136" s="80" t="s">
        <v>185</v>
      </c>
      <c r="E136" s="81" t="s">
        <v>370</v>
      </c>
      <c r="F136" s="80" t="s">
        <v>371</v>
      </c>
      <c r="G136" s="81" t="s">
        <v>372</v>
      </c>
      <c r="H136" s="81" t="s">
        <v>1265</v>
      </c>
      <c r="I136" s="80">
        <v>1105173</v>
      </c>
      <c r="J136" s="79" t="s">
        <v>1003</v>
      </c>
      <c r="K136" s="79" t="s">
        <v>2158</v>
      </c>
      <c r="L136" s="84" t="s">
        <v>16</v>
      </c>
      <c r="M136" s="85">
        <v>19050</v>
      </c>
      <c r="N136" s="95" t="s">
        <v>17</v>
      </c>
      <c r="O136" s="96">
        <v>43831</v>
      </c>
      <c r="P136" s="88" t="s">
        <v>597</v>
      </c>
      <c r="Q136" s="84" t="s">
        <v>5</v>
      </c>
      <c r="R136" s="89" t="s">
        <v>920</v>
      </c>
      <c r="S136" s="90" t="s">
        <v>921</v>
      </c>
      <c r="T136" s="79"/>
      <c r="U136" s="79"/>
      <c r="V136" s="79"/>
      <c r="W136" s="79"/>
      <c r="X136" s="79"/>
      <c r="Y136" s="79"/>
      <c r="Z136" s="91"/>
      <c r="AA136" s="91"/>
      <c r="AB136" s="91"/>
      <c r="AC136" s="79"/>
      <c r="AD136" s="79"/>
      <c r="AE136" s="79"/>
      <c r="AF136" s="92"/>
      <c r="AG136" s="92"/>
      <c r="AH136" s="79"/>
      <c r="AI136" s="79"/>
      <c r="AJ136" s="92" t="s">
        <v>885</v>
      </c>
      <c r="AK136" s="79"/>
      <c r="AL136" s="79" t="s">
        <v>507</v>
      </c>
      <c r="AM136" s="92" t="s">
        <v>409</v>
      </c>
      <c r="AN136" s="92" t="s">
        <v>922</v>
      </c>
      <c r="AO136" s="92" t="s">
        <v>923</v>
      </c>
      <c r="AP136" s="92"/>
      <c r="AQ136" s="92" t="s">
        <v>1780</v>
      </c>
      <c r="AR136" s="92" t="s">
        <v>1781</v>
      </c>
      <c r="AS136" s="92" t="s">
        <v>1782</v>
      </c>
      <c r="AT136" s="79"/>
      <c r="AU136" s="79"/>
      <c r="AV136" s="92" t="str">
        <f>VLOOKUP(I136, Kiegészítő_Mátrix!C:E, 3, FALSE)</f>
        <v>Nuance Pro kiegészítők</v>
      </c>
    </row>
    <row r="137" spans="1:48" ht="30" customHeight="1" x14ac:dyDescent="0.3">
      <c r="A137" s="79"/>
      <c r="B137" s="79" t="s">
        <v>368</v>
      </c>
      <c r="C137" s="79" t="s">
        <v>163</v>
      </c>
      <c r="D137" s="80" t="s">
        <v>185</v>
      </c>
      <c r="E137" s="81" t="s">
        <v>370</v>
      </c>
      <c r="F137" s="80" t="s">
        <v>371</v>
      </c>
      <c r="G137" s="81" t="s">
        <v>372</v>
      </c>
      <c r="H137" s="81" t="s">
        <v>1265</v>
      </c>
      <c r="I137" s="80">
        <v>1105174</v>
      </c>
      <c r="J137" s="79" t="s">
        <v>1004</v>
      </c>
      <c r="K137" s="79" t="s">
        <v>2158</v>
      </c>
      <c r="L137" s="84" t="s">
        <v>16</v>
      </c>
      <c r="M137" s="85">
        <v>19050</v>
      </c>
      <c r="N137" s="95" t="s">
        <v>17</v>
      </c>
      <c r="O137" s="96">
        <v>43466</v>
      </c>
      <c r="P137" s="88" t="s">
        <v>598</v>
      </c>
      <c r="Q137" s="84" t="s">
        <v>5</v>
      </c>
      <c r="R137" s="89" t="s">
        <v>920</v>
      </c>
      <c r="S137" s="90" t="s">
        <v>921</v>
      </c>
      <c r="T137" s="79"/>
      <c r="U137" s="79"/>
      <c r="V137" s="79"/>
      <c r="W137" s="79"/>
      <c r="X137" s="79"/>
      <c r="Y137" s="79"/>
      <c r="Z137" s="91"/>
      <c r="AA137" s="91"/>
      <c r="AB137" s="91"/>
      <c r="AC137" s="79"/>
      <c r="AD137" s="79"/>
      <c r="AE137" s="79"/>
      <c r="AF137" s="92"/>
      <c r="AG137" s="92"/>
      <c r="AH137" s="79"/>
      <c r="AI137" s="79"/>
      <c r="AJ137" s="92" t="s">
        <v>885</v>
      </c>
      <c r="AK137" s="79"/>
      <c r="AL137" s="79" t="s">
        <v>507</v>
      </c>
      <c r="AM137" s="92" t="s">
        <v>409</v>
      </c>
      <c r="AN137" s="92" t="s">
        <v>922</v>
      </c>
      <c r="AO137" s="92" t="s">
        <v>923</v>
      </c>
      <c r="AP137" s="92"/>
      <c r="AQ137" s="92" t="s">
        <v>1783</v>
      </c>
      <c r="AR137" s="92" t="s">
        <v>1784</v>
      </c>
      <c r="AS137" s="92" t="s">
        <v>1785</v>
      </c>
      <c r="AT137" s="79"/>
      <c r="AU137" s="79"/>
      <c r="AV137" s="92" t="str">
        <f>VLOOKUP(I137, Kiegészítő_Mátrix!C:E, 3, FALSE)</f>
        <v>Nuance Pro kiegészítők</v>
      </c>
    </row>
    <row r="138" spans="1:48" ht="30" customHeight="1" x14ac:dyDescent="0.3">
      <c r="A138" s="79"/>
      <c r="B138" s="79" t="s">
        <v>368</v>
      </c>
      <c r="C138" s="79" t="s">
        <v>163</v>
      </c>
      <c r="D138" s="80" t="s">
        <v>185</v>
      </c>
      <c r="E138" s="81" t="s">
        <v>370</v>
      </c>
      <c r="F138" s="80" t="s">
        <v>371</v>
      </c>
      <c r="G138" s="81" t="s">
        <v>372</v>
      </c>
      <c r="H138" s="81" t="s">
        <v>1265</v>
      </c>
      <c r="I138" s="80">
        <v>1105175</v>
      </c>
      <c r="J138" s="79" t="s">
        <v>1005</v>
      </c>
      <c r="K138" s="79" t="s">
        <v>2158</v>
      </c>
      <c r="L138" s="84" t="s">
        <v>16</v>
      </c>
      <c r="M138" s="85">
        <v>19050</v>
      </c>
      <c r="N138" s="95" t="s">
        <v>17</v>
      </c>
      <c r="O138" s="96">
        <v>43831</v>
      </c>
      <c r="P138" s="88" t="s">
        <v>599</v>
      </c>
      <c r="Q138" s="84" t="s">
        <v>5</v>
      </c>
      <c r="R138" s="89" t="s">
        <v>920</v>
      </c>
      <c r="S138" s="90" t="s">
        <v>921</v>
      </c>
      <c r="T138" s="79"/>
      <c r="U138" s="79"/>
      <c r="V138" s="79"/>
      <c r="W138" s="79"/>
      <c r="X138" s="79"/>
      <c r="Y138" s="79"/>
      <c r="Z138" s="91"/>
      <c r="AA138" s="91"/>
      <c r="AB138" s="91"/>
      <c r="AC138" s="79"/>
      <c r="AD138" s="79"/>
      <c r="AE138" s="79"/>
      <c r="AF138" s="92"/>
      <c r="AG138" s="92"/>
      <c r="AH138" s="79"/>
      <c r="AI138" s="79"/>
      <c r="AJ138" s="92" t="s">
        <v>885</v>
      </c>
      <c r="AK138" s="79"/>
      <c r="AL138" s="79" t="s">
        <v>507</v>
      </c>
      <c r="AM138" s="92" t="s">
        <v>409</v>
      </c>
      <c r="AN138" s="92" t="s">
        <v>922</v>
      </c>
      <c r="AO138" s="92" t="s">
        <v>923</v>
      </c>
      <c r="AP138" s="92"/>
      <c r="AQ138" s="92" t="s">
        <v>1786</v>
      </c>
      <c r="AR138" s="92" t="s">
        <v>1787</v>
      </c>
      <c r="AS138" s="92" t="s">
        <v>1788</v>
      </c>
      <c r="AT138" s="79"/>
      <c r="AU138" s="79"/>
      <c r="AV138" s="92" t="str">
        <f>VLOOKUP(I138, Kiegészítő_Mátrix!C:E, 3, FALSE)</f>
        <v>Nuance Pro kiegészítők</v>
      </c>
    </row>
    <row r="139" spans="1:48" ht="30" customHeight="1" x14ac:dyDescent="0.3">
      <c r="A139" s="79"/>
      <c r="B139" s="79" t="s">
        <v>368</v>
      </c>
      <c r="C139" s="79" t="s">
        <v>163</v>
      </c>
      <c r="D139" s="80" t="s">
        <v>185</v>
      </c>
      <c r="E139" s="81" t="s">
        <v>370</v>
      </c>
      <c r="F139" s="80" t="s">
        <v>371</v>
      </c>
      <c r="G139" s="81" t="s">
        <v>372</v>
      </c>
      <c r="H139" s="81" t="s">
        <v>1266</v>
      </c>
      <c r="I139" s="80">
        <v>1104936</v>
      </c>
      <c r="J139" s="79" t="s">
        <v>1006</v>
      </c>
      <c r="K139" s="79" t="s">
        <v>2158</v>
      </c>
      <c r="L139" s="84" t="s">
        <v>16</v>
      </c>
      <c r="M139" s="85">
        <v>11430</v>
      </c>
      <c r="N139" s="95" t="s">
        <v>17</v>
      </c>
      <c r="O139" s="96">
        <v>44927</v>
      </c>
      <c r="P139" s="88" t="s">
        <v>532</v>
      </c>
      <c r="Q139" s="84" t="s">
        <v>5</v>
      </c>
      <c r="R139" s="89" t="s">
        <v>924</v>
      </c>
      <c r="S139" s="90" t="s">
        <v>925</v>
      </c>
      <c r="T139" s="79"/>
      <c r="U139" s="79"/>
      <c r="V139" s="79"/>
      <c r="W139" s="79"/>
      <c r="X139" s="79"/>
      <c r="Y139" s="79"/>
      <c r="Z139" s="91"/>
      <c r="AA139" s="91"/>
      <c r="AB139" s="91"/>
      <c r="AC139" s="79"/>
      <c r="AD139" s="79"/>
      <c r="AE139" s="79"/>
      <c r="AF139" s="92"/>
      <c r="AG139" s="92"/>
      <c r="AH139" s="79"/>
      <c r="AI139" s="79"/>
      <c r="AJ139" s="92" t="s">
        <v>885</v>
      </c>
      <c r="AK139" s="79"/>
      <c r="AL139" s="79" t="s">
        <v>507</v>
      </c>
      <c r="AM139" s="92" t="s">
        <v>409</v>
      </c>
      <c r="AN139" s="92" t="s">
        <v>926</v>
      </c>
      <c r="AO139" s="92" t="s">
        <v>927</v>
      </c>
      <c r="AP139" s="92"/>
      <c r="AQ139" s="92" t="s">
        <v>1789</v>
      </c>
      <c r="AR139" s="92" t="s">
        <v>1790</v>
      </c>
      <c r="AS139" s="92" t="s">
        <v>1791</v>
      </c>
      <c r="AT139" s="79"/>
      <c r="AU139" s="79"/>
      <c r="AV139" s="92" t="str">
        <f>VLOOKUP(I139, Kiegészítő_Mátrix!C:E, 3, FALSE)</f>
        <v>Pico kiegészítők</v>
      </c>
    </row>
    <row r="140" spans="1:48" ht="30" customHeight="1" x14ac:dyDescent="0.3">
      <c r="A140" s="79"/>
      <c r="B140" s="79" t="s">
        <v>368</v>
      </c>
      <c r="C140" s="79" t="s">
        <v>163</v>
      </c>
      <c r="D140" s="80" t="s">
        <v>185</v>
      </c>
      <c r="E140" s="81" t="s">
        <v>370</v>
      </c>
      <c r="F140" s="80" t="s">
        <v>371</v>
      </c>
      <c r="G140" s="81" t="s">
        <v>372</v>
      </c>
      <c r="H140" s="81" t="s">
        <v>1266</v>
      </c>
      <c r="I140" s="80">
        <v>1104937</v>
      </c>
      <c r="J140" s="79" t="s">
        <v>1007</v>
      </c>
      <c r="K140" s="79" t="s">
        <v>2158</v>
      </c>
      <c r="L140" s="84" t="s">
        <v>16</v>
      </c>
      <c r="M140" s="85">
        <v>11430</v>
      </c>
      <c r="N140" s="95" t="s">
        <v>17</v>
      </c>
      <c r="O140" s="96">
        <v>44927</v>
      </c>
      <c r="P140" s="88" t="s">
        <v>599</v>
      </c>
      <c r="Q140" s="84" t="s">
        <v>5</v>
      </c>
      <c r="R140" s="89" t="s">
        <v>924</v>
      </c>
      <c r="S140" s="90" t="s">
        <v>925</v>
      </c>
      <c r="T140" s="79"/>
      <c r="U140" s="79"/>
      <c r="V140" s="79"/>
      <c r="W140" s="79"/>
      <c r="X140" s="79"/>
      <c r="Y140" s="79"/>
      <c r="Z140" s="91"/>
      <c r="AA140" s="91"/>
      <c r="AB140" s="91"/>
      <c r="AC140" s="79"/>
      <c r="AD140" s="79"/>
      <c r="AE140" s="79"/>
      <c r="AF140" s="92"/>
      <c r="AG140" s="92"/>
      <c r="AH140" s="79"/>
      <c r="AI140" s="79"/>
      <c r="AJ140" s="92" t="s">
        <v>885</v>
      </c>
      <c r="AK140" s="79"/>
      <c r="AL140" s="79" t="s">
        <v>507</v>
      </c>
      <c r="AM140" s="92" t="s">
        <v>409</v>
      </c>
      <c r="AN140" s="92" t="s">
        <v>928</v>
      </c>
      <c r="AO140" s="92" t="s">
        <v>927</v>
      </c>
      <c r="AP140" s="92"/>
      <c r="AQ140" s="92" t="s">
        <v>1792</v>
      </c>
      <c r="AR140" s="92" t="s">
        <v>1793</v>
      </c>
      <c r="AS140" s="92" t="s">
        <v>1794</v>
      </c>
      <c r="AT140" s="79"/>
      <c r="AU140" s="79"/>
      <c r="AV140" s="92" t="str">
        <f>VLOOKUP(I140, Kiegészítő_Mátrix!C:E, 3, FALSE)</f>
        <v>Pico kiegészítők</v>
      </c>
    </row>
    <row r="141" spans="1:48" ht="30" customHeight="1" x14ac:dyDescent="0.3">
      <c r="A141" s="79"/>
      <c r="B141" s="79" t="s">
        <v>368</v>
      </c>
      <c r="C141" s="79" t="s">
        <v>163</v>
      </c>
      <c r="D141" s="80" t="s">
        <v>185</v>
      </c>
      <c r="E141" s="81" t="s">
        <v>370</v>
      </c>
      <c r="F141" s="80" t="s">
        <v>371</v>
      </c>
      <c r="G141" s="81" t="s">
        <v>372</v>
      </c>
      <c r="H141" s="81" t="s">
        <v>1266</v>
      </c>
      <c r="I141" s="80">
        <v>1104938</v>
      </c>
      <c r="J141" s="79" t="s">
        <v>1008</v>
      </c>
      <c r="K141" s="79" t="s">
        <v>2158</v>
      </c>
      <c r="L141" s="84" t="s">
        <v>16</v>
      </c>
      <c r="M141" s="85">
        <v>11430</v>
      </c>
      <c r="N141" s="95" t="s">
        <v>17</v>
      </c>
      <c r="O141" s="96">
        <v>44927</v>
      </c>
      <c r="P141" s="88" t="s">
        <v>534</v>
      </c>
      <c r="Q141" s="84" t="s">
        <v>5</v>
      </c>
      <c r="R141" s="89" t="s">
        <v>924</v>
      </c>
      <c r="S141" s="90" t="s">
        <v>925</v>
      </c>
      <c r="T141" s="79"/>
      <c r="U141" s="79"/>
      <c r="V141" s="79"/>
      <c r="W141" s="79"/>
      <c r="X141" s="79"/>
      <c r="Y141" s="79"/>
      <c r="Z141" s="91"/>
      <c r="AA141" s="91"/>
      <c r="AB141" s="91"/>
      <c r="AC141" s="79"/>
      <c r="AD141" s="79"/>
      <c r="AE141" s="79"/>
      <c r="AF141" s="92"/>
      <c r="AG141" s="92"/>
      <c r="AH141" s="79"/>
      <c r="AI141" s="79"/>
      <c r="AJ141" s="92" t="s">
        <v>885</v>
      </c>
      <c r="AK141" s="79"/>
      <c r="AL141" s="79" t="s">
        <v>507</v>
      </c>
      <c r="AM141" s="92" t="s">
        <v>409</v>
      </c>
      <c r="AN141" s="92" t="s">
        <v>929</v>
      </c>
      <c r="AO141" s="92" t="s">
        <v>927</v>
      </c>
      <c r="AP141" s="92"/>
      <c r="AQ141" s="92" t="s">
        <v>1795</v>
      </c>
      <c r="AR141" s="92" t="s">
        <v>1796</v>
      </c>
      <c r="AS141" s="92" t="s">
        <v>1797</v>
      </c>
      <c r="AT141" s="79"/>
      <c r="AU141" s="79"/>
      <c r="AV141" s="92" t="str">
        <f>VLOOKUP(I141, Kiegészítő_Mátrix!C:E, 3, FALSE)</f>
        <v>Pico kiegészítők</v>
      </c>
    </row>
    <row r="142" spans="1:48" ht="30" customHeight="1" x14ac:dyDescent="0.3">
      <c r="A142" s="79"/>
      <c r="B142" s="79" t="s">
        <v>368</v>
      </c>
      <c r="C142" s="79" t="s">
        <v>163</v>
      </c>
      <c r="D142" s="80" t="s">
        <v>185</v>
      </c>
      <c r="E142" s="81" t="s">
        <v>370</v>
      </c>
      <c r="F142" s="80" t="s">
        <v>371</v>
      </c>
      <c r="G142" s="81" t="s">
        <v>372</v>
      </c>
      <c r="H142" s="81" t="s">
        <v>1267</v>
      </c>
      <c r="I142" s="131">
        <v>1094086</v>
      </c>
      <c r="J142" s="126" t="s">
        <v>1009</v>
      </c>
      <c r="K142" s="126" t="s">
        <v>2158</v>
      </c>
      <c r="L142" s="84" t="s">
        <v>16</v>
      </c>
      <c r="M142" s="85">
        <v>16510</v>
      </c>
      <c r="N142" s="86" t="s">
        <v>17</v>
      </c>
      <c r="O142" s="87">
        <v>41760</v>
      </c>
      <c r="P142" s="91" t="s">
        <v>883</v>
      </c>
      <c r="Q142" s="84" t="s">
        <v>5</v>
      </c>
      <c r="R142" s="89" t="s">
        <v>930</v>
      </c>
      <c r="S142" s="90" t="s">
        <v>931</v>
      </c>
      <c r="T142" s="79"/>
      <c r="U142" s="79"/>
      <c r="V142" s="79"/>
      <c r="W142" s="79"/>
      <c r="X142" s="79"/>
      <c r="Y142" s="79"/>
      <c r="Z142" s="91"/>
      <c r="AA142" s="91"/>
      <c r="AB142" s="91"/>
      <c r="AC142" s="79"/>
      <c r="AD142" s="79"/>
      <c r="AE142" s="79"/>
      <c r="AF142" s="92"/>
      <c r="AG142" s="92"/>
      <c r="AH142" s="79"/>
      <c r="AI142" s="79"/>
      <c r="AJ142" s="92" t="s">
        <v>885</v>
      </c>
      <c r="AK142" s="79"/>
      <c r="AL142" s="79" t="s">
        <v>507</v>
      </c>
      <c r="AM142" s="92" t="s">
        <v>409</v>
      </c>
      <c r="AN142" s="92" t="s">
        <v>932</v>
      </c>
      <c r="AO142" s="92" t="s">
        <v>933</v>
      </c>
      <c r="AP142" s="92"/>
      <c r="AQ142" s="92" t="s">
        <v>1798</v>
      </c>
      <c r="AR142" s="92" t="s">
        <v>1799</v>
      </c>
      <c r="AS142" s="92" t="s">
        <v>1800</v>
      </c>
      <c r="AT142" s="79"/>
      <c r="AU142" s="79"/>
      <c r="AV142" s="92" t="e">
        <f>VLOOKUP(I142, Kiegészítő_Mátrix!C:E, 3, FALSE)</f>
        <v>#N/A</v>
      </c>
    </row>
    <row r="143" spans="1:48" ht="30" customHeight="1" x14ac:dyDescent="0.3">
      <c r="A143" s="79"/>
      <c r="B143" s="79" t="s">
        <v>368</v>
      </c>
      <c r="C143" s="79" t="s">
        <v>163</v>
      </c>
      <c r="D143" s="80" t="s">
        <v>185</v>
      </c>
      <c r="E143" s="81" t="s">
        <v>370</v>
      </c>
      <c r="F143" s="80" t="s">
        <v>371</v>
      </c>
      <c r="G143" s="81" t="s">
        <v>372</v>
      </c>
      <c r="H143" s="81" t="s">
        <v>1267</v>
      </c>
      <c r="I143" s="80">
        <v>1094087</v>
      </c>
      <c r="J143" s="79" t="s">
        <v>1010</v>
      </c>
      <c r="K143" s="79" t="s">
        <v>2158</v>
      </c>
      <c r="L143" s="84" t="s">
        <v>16</v>
      </c>
      <c r="M143" s="85">
        <v>16510</v>
      </c>
      <c r="N143" s="95" t="s">
        <v>17</v>
      </c>
      <c r="O143" s="96">
        <v>41760</v>
      </c>
      <c r="P143" s="88" t="s">
        <v>884</v>
      </c>
      <c r="Q143" s="84" t="s">
        <v>5</v>
      </c>
      <c r="R143" s="89" t="s">
        <v>930</v>
      </c>
      <c r="S143" s="90" t="s">
        <v>931</v>
      </c>
      <c r="T143" s="79"/>
      <c r="U143" s="79"/>
      <c r="V143" s="79"/>
      <c r="W143" s="79"/>
      <c r="X143" s="79"/>
      <c r="Y143" s="79"/>
      <c r="Z143" s="91"/>
      <c r="AA143" s="91"/>
      <c r="AB143" s="91"/>
      <c r="AC143" s="79"/>
      <c r="AD143" s="79"/>
      <c r="AE143" s="79"/>
      <c r="AF143" s="92"/>
      <c r="AG143" s="92"/>
      <c r="AH143" s="79"/>
      <c r="AI143" s="79"/>
      <c r="AJ143" s="92" t="s">
        <v>885</v>
      </c>
      <c r="AK143" s="79"/>
      <c r="AL143" s="79" t="s">
        <v>507</v>
      </c>
      <c r="AM143" s="92" t="s">
        <v>409</v>
      </c>
      <c r="AN143" s="92" t="s">
        <v>932</v>
      </c>
      <c r="AO143" s="92" t="s">
        <v>933</v>
      </c>
      <c r="AP143" s="92"/>
      <c r="AQ143" s="92" t="s">
        <v>1801</v>
      </c>
      <c r="AR143" s="92" t="s">
        <v>1802</v>
      </c>
      <c r="AS143" s="92" t="s">
        <v>1803</v>
      </c>
      <c r="AT143" s="79"/>
      <c r="AU143" s="79"/>
      <c r="AV143" s="92" t="str">
        <f>VLOOKUP(I143, Kiegészítő_Mátrix!C:E, 3, FALSE)</f>
        <v>Wisp kiegészítők</v>
      </c>
    </row>
    <row r="144" spans="1:48" ht="30" customHeight="1" x14ac:dyDescent="0.3">
      <c r="A144" s="79"/>
      <c r="B144" s="79" t="s">
        <v>368</v>
      </c>
      <c r="C144" s="79" t="s">
        <v>163</v>
      </c>
      <c r="D144" s="80" t="s">
        <v>185</v>
      </c>
      <c r="E144" s="81" t="s">
        <v>370</v>
      </c>
      <c r="F144" s="80" t="s">
        <v>371</v>
      </c>
      <c r="G144" s="81" t="s">
        <v>372</v>
      </c>
      <c r="H144" s="81" t="s">
        <v>1267</v>
      </c>
      <c r="I144" s="80">
        <v>1094088</v>
      </c>
      <c r="J144" s="79" t="s">
        <v>1011</v>
      </c>
      <c r="K144" s="79" t="s">
        <v>2158</v>
      </c>
      <c r="L144" s="84" t="s">
        <v>16</v>
      </c>
      <c r="M144" s="85">
        <v>16510</v>
      </c>
      <c r="N144" s="95" t="s">
        <v>17</v>
      </c>
      <c r="O144" s="96">
        <v>41760</v>
      </c>
      <c r="P144" s="88" t="s">
        <v>599</v>
      </c>
      <c r="Q144" s="84" t="s">
        <v>5</v>
      </c>
      <c r="R144" s="89" t="s">
        <v>930</v>
      </c>
      <c r="S144" s="90" t="s">
        <v>931</v>
      </c>
      <c r="T144" s="79"/>
      <c r="U144" s="79"/>
      <c r="V144" s="79"/>
      <c r="W144" s="79"/>
      <c r="X144" s="79"/>
      <c r="Y144" s="79"/>
      <c r="Z144" s="91"/>
      <c r="AA144" s="91"/>
      <c r="AB144" s="91"/>
      <c r="AC144" s="79"/>
      <c r="AD144" s="79"/>
      <c r="AE144" s="79"/>
      <c r="AF144" s="92"/>
      <c r="AG144" s="92"/>
      <c r="AH144" s="79"/>
      <c r="AI144" s="79"/>
      <c r="AJ144" s="92" t="s">
        <v>885</v>
      </c>
      <c r="AK144" s="79"/>
      <c r="AL144" s="79" t="s">
        <v>507</v>
      </c>
      <c r="AM144" s="92" t="s">
        <v>409</v>
      </c>
      <c r="AN144" s="92" t="s">
        <v>932</v>
      </c>
      <c r="AO144" s="92" t="s">
        <v>933</v>
      </c>
      <c r="AP144" s="92"/>
      <c r="AQ144" s="92" t="s">
        <v>1804</v>
      </c>
      <c r="AR144" s="92" t="s">
        <v>1805</v>
      </c>
      <c r="AS144" s="92" t="s">
        <v>1806</v>
      </c>
      <c r="AT144" s="79"/>
      <c r="AU144" s="79"/>
      <c r="AV144" s="92" t="str">
        <f>VLOOKUP(I144, Kiegészítő_Mátrix!C:E, 3, FALSE)</f>
        <v>Wisp kiegészítők</v>
      </c>
    </row>
    <row r="145" spans="1:48" ht="30" customHeight="1" x14ac:dyDescent="0.3">
      <c r="A145" s="79"/>
      <c r="B145" s="79" t="s">
        <v>368</v>
      </c>
      <c r="C145" s="79" t="s">
        <v>163</v>
      </c>
      <c r="D145" s="80" t="s">
        <v>185</v>
      </c>
      <c r="E145" s="81" t="s">
        <v>370</v>
      </c>
      <c r="F145" s="80" t="s">
        <v>371</v>
      </c>
      <c r="G145" s="81" t="s">
        <v>372</v>
      </c>
      <c r="H145" s="81" t="s">
        <v>1267</v>
      </c>
      <c r="I145" s="80">
        <v>1112031</v>
      </c>
      <c r="J145" s="79" t="s">
        <v>1012</v>
      </c>
      <c r="K145" s="79" t="s">
        <v>2158</v>
      </c>
      <c r="L145" s="84" t="s">
        <v>16</v>
      </c>
      <c r="M145" s="85">
        <v>20320</v>
      </c>
      <c r="N145" s="95" t="s">
        <v>17</v>
      </c>
      <c r="O145" s="96">
        <v>42005</v>
      </c>
      <c r="P145" s="88" t="s">
        <v>534</v>
      </c>
      <c r="Q145" s="84" t="s">
        <v>5</v>
      </c>
      <c r="R145" s="89" t="s">
        <v>930</v>
      </c>
      <c r="S145" s="90" t="s">
        <v>931</v>
      </c>
      <c r="T145" s="79"/>
      <c r="U145" s="79"/>
      <c r="V145" s="79"/>
      <c r="W145" s="79"/>
      <c r="X145" s="79"/>
      <c r="Y145" s="79"/>
      <c r="Z145" s="91"/>
      <c r="AA145" s="91"/>
      <c r="AB145" s="91"/>
      <c r="AC145" s="79"/>
      <c r="AD145" s="79"/>
      <c r="AE145" s="79"/>
      <c r="AF145" s="92"/>
      <c r="AG145" s="92"/>
      <c r="AH145" s="79"/>
      <c r="AI145" s="79"/>
      <c r="AJ145" s="92" t="s">
        <v>885</v>
      </c>
      <c r="AK145" s="79"/>
      <c r="AL145" s="79" t="s">
        <v>507</v>
      </c>
      <c r="AM145" s="92" t="s">
        <v>409</v>
      </c>
      <c r="AN145" s="92" t="s">
        <v>932</v>
      </c>
      <c r="AO145" s="92" t="s">
        <v>933</v>
      </c>
      <c r="AP145" s="92"/>
      <c r="AQ145" s="92" t="s">
        <v>1807</v>
      </c>
      <c r="AR145" s="92" t="s">
        <v>1808</v>
      </c>
      <c r="AS145" s="92" t="s">
        <v>1809</v>
      </c>
      <c r="AT145" s="79"/>
      <c r="AU145" s="79"/>
      <c r="AV145" s="92" t="str">
        <f>VLOOKUP(I145, Kiegészítő_Mátrix!C:E, 3, FALSE)</f>
        <v>Wisp kiegészítők</v>
      </c>
    </row>
    <row r="146" spans="1:48" ht="30" customHeight="1" x14ac:dyDescent="0.3">
      <c r="A146" s="79"/>
      <c r="B146" s="79" t="s">
        <v>368</v>
      </c>
      <c r="C146" s="79" t="s">
        <v>163</v>
      </c>
      <c r="D146" s="80" t="s">
        <v>185</v>
      </c>
      <c r="E146" s="81" t="s">
        <v>370</v>
      </c>
      <c r="F146" s="80" t="s">
        <v>371</v>
      </c>
      <c r="G146" s="81" t="s">
        <v>372</v>
      </c>
      <c r="H146" s="81" t="s">
        <v>796</v>
      </c>
      <c r="I146" s="125">
        <v>1104969</v>
      </c>
      <c r="J146" s="126" t="s">
        <v>202</v>
      </c>
      <c r="K146" s="126" t="s">
        <v>2159</v>
      </c>
      <c r="L146" s="101" t="s">
        <v>16</v>
      </c>
      <c r="M146" s="120"/>
      <c r="N146" s="95"/>
      <c r="O146" s="96"/>
      <c r="P146" s="88"/>
      <c r="Q146" s="84"/>
      <c r="R146" s="89"/>
      <c r="S146" s="90"/>
      <c r="T146" s="79"/>
      <c r="U146" s="79"/>
      <c r="V146" s="79"/>
      <c r="W146" s="79"/>
      <c r="X146" s="79"/>
      <c r="Y146" s="79"/>
      <c r="Z146" s="91"/>
      <c r="AA146" s="91"/>
      <c r="AB146" s="91"/>
      <c r="AC146" s="79"/>
      <c r="AD146" s="79"/>
      <c r="AE146" s="79"/>
      <c r="AF146" s="92"/>
      <c r="AG146" s="92"/>
      <c r="AH146" s="79"/>
      <c r="AI146" s="79"/>
      <c r="AJ146" s="92"/>
      <c r="AK146" s="79"/>
      <c r="AL146" s="79"/>
      <c r="AM146" s="92"/>
      <c r="AN146" s="92"/>
      <c r="AO146" s="92"/>
      <c r="AP146" s="92"/>
      <c r="AQ146" s="92"/>
      <c r="AR146" s="92"/>
      <c r="AS146" s="92"/>
      <c r="AT146" s="79"/>
      <c r="AU146" s="79"/>
      <c r="AV146" s="92" t="e">
        <f>VLOOKUP(I146, Kiegészítő_Mátrix!C:E, 3, FALSE)</f>
        <v>#N/A</v>
      </c>
    </row>
    <row r="147" spans="1:48" ht="30" customHeight="1" x14ac:dyDescent="0.3">
      <c r="A147" s="79"/>
      <c r="B147" s="79" t="s">
        <v>368</v>
      </c>
      <c r="C147" s="79" t="s">
        <v>163</v>
      </c>
      <c r="D147" s="80" t="s">
        <v>185</v>
      </c>
      <c r="E147" s="81" t="s">
        <v>370</v>
      </c>
      <c r="F147" s="80" t="s">
        <v>371</v>
      </c>
      <c r="G147" s="81" t="s">
        <v>372</v>
      </c>
      <c r="H147" s="81" t="s">
        <v>796</v>
      </c>
      <c r="I147" s="125">
        <v>1104970</v>
      </c>
      <c r="J147" s="126" t="s">
        <v>203</v>
      </c>
      <c r="K147" s="126" t="s">
        <v>2159</v>
      </c>
      <c r="L147" s="101" t="s">
        <v>16</v>
      </c>
      <c r="M147" s="120"/>
      <c r="N147" s="95"/>
      <c r="O147" s="96"/>
      <c r="P147" s="88"/>
      <c r="Q147" s="84"/>
      <c r="R147" s="89"/>
      <c r="S147" s="90"/>
      <c r="T147" s="79"/>
      <c r="U147" s="79"/>
      <c r="V147" s="79"/>
      <c r="W147" s="79"/>
      <c r="X147" s="79"/>
      <c r="Y147" s="79"/>
      <c r="Z147" s="91"/>
      <c r="AA147" s="91"/>
      <c r="AB147" s="91"/>
      <c r="AC147" s="79"/>
      <c r="AD147" s="79"/>
      <c r="AE147" s="79"/>
      <c r="AF147" s="92"/>
      <c r="AG147" s="92"/>
      <c r="AH147" s="79"/>
      <c r="AI147" s="79"/>
      <c r="AJ147" s="92"/>
      <c r="AK147" s="79"/>
      <c r="AL147" s="79"/>
      <c r="AM147" s="92"/>
      <c r="AN147" s="92"/>
      <c r="AO147" s="92"/>
      <c r="AP147" s="92"/>
      <c r="AQ147" s="92"/>
      <c r="AR147" s="92"/>
      <c r="AS147" s="92"/>
      <c r="AT147" s="79"/>
      <c r="AU147" s="79"/>
      <c r="AV147" s="92" t="e">
        <f>VLOOKUP(I147, Kiegészítő_Mátrix!C:E, 3, FALSE)</f>
        <v>#N/A</v>
      </c>
    </row>
    <row r="148" spans="1:48" ht="30" customHeight="1" x14ac:dyDescent="0.3">
      <c r="A148" s="79"/>
      <c r="B148" s="79" t="s">
        <v>368</v>
      </c>
      <c r="C148" s="79" t="s">
        <v>163</v>
      </c>
      <c r="D148" s="80" t="s">
        <v>185</v>
      </c>
      <c r="E148" s="81" t="s">
        <v>370</v>
      </c>
      <c r="F148" s="80" t="s">
        <v>371</v>
      </c>
      <c r="G148" s="81" t="s">
        <v>372</v>
      </c>
      <c r="H148" s="81" t="s">
        <v>796</v>
      </c>
      <c r="I148" s="125">
        <v>1104971</v>
      </c>
      <c r="J148" s="126" t="s">
        <v>204</v>
      </c>
      <c r="K148" s="126" t="s">
        <v>2159</v>
      </c>
      <c r="L148" s="101" t="s">
        <v>16</v>
      </c>
      <c r="M148" s="120"/>
      <c r="N148" s="95"/>
      <c r="O148" s="96"/>
      <c r="P148" s="88"/>
      <c r="Q148" s="84"/>
      <c r="R148" s="89"/>
      <c r="S148" s="90"/>
      <c r="T148" s="79"/>
      <c r="U148" s="79"/>
      <c r="V148" s="79"/>
      <c r="W148" s="79"/>
      <c r="X148" s="79"/>
      <c r="Y148" s="79"/>
      <c r="Z148" s="91"/>
      <c r="AA148" s="91"/>
      <c r="AB148" s="91"/>
      <c r="AC148" s="79"/>
      <c r="AD148" s="79"/>
      <c r="AE148" s="79"/>
      <c r="AF148" s="92"/>
      <c r="AG148" s="92"/>
      <c r="AH148" s="79"/>
      <c r="AI148" s="79"/>
      <c r="AJ148" s="92"/>
      <c r="AK148" s="79"/>
      <c r="AL148" s="79"/>
      <c r="AM148" s="92"/>
      <c r="AN148" s="92"/>
      <c r="AO148" s="92"/>
      <c r="AP148" s="92"/>
      <c r="AQ148" s="92"/>
      <c r="AR148" s="92"/>
      <c r="AS148" s="92"/>
      <c r="AT148" s="79"/>
      <c r="AU148" s="79"/>
      <c r="AV148" s="92" t="e">
        <f>VLOOKUP(I148, Kiegészítő_Mátrix!C:E, 3, FALSE)</f>
        <v>#N/A</v>
      </c>
    </row>
    <row r="149" spans="1:48" ht="30" customHeight="1" x14ac:dyDescent="0.3">
      <c r="A149" s="79"/>
      <c r="B149" s="79" t="s">
        <v>368</v>
      </c>
      <c r="C149" s="79" t="s">
        <v>163</v>
      </c>
      <c r="D149" s="80" t="s">
        <v>185</v>
      </c>
      <c r="E149" s="81" t="s">
        <v>370</v>
      </c>
      <c r="F149" s="80" t="s">
        <v>371</v>
      </c>
      <c r="G149" s="81" t="s">
        <v>372</v>
      </c>
      <c r="H149" s="81" t="s">
        <v>796</v>
      </c>
      <c r="I149" s="125">
        <v>1104973</v>
      </c>
      <c r="J149" s="126" t="s">
        <v>205</v>
      </c>
      <c r="K149" s="126" t="s">
        <v>2159</v>
      </c>
      <c r="L149" s="101" t="s">
        <v>16</v>
      </c>
      <c r="M149" s="120"/>
      <c r="N149" s="95"/>
      <c r="O149" s="96"/>
      <c r="P149" s="88"/>
      <c r="Q149" s="84"/>
      <c r="R149" s="89"/>
      <c r="S149" s="90"/>
      <c r="T149" s="79"/>
      <c r="U149" s="79"/>
      <c r="V149" s="79"/>
      <c r="W149" s="79"/>
      <c r="X149" s="79"/>
      <c r="Y149" s="79"/>
      <c r="Z149" s="91"/>
      <c r="AA149" s="91"/>
      <c r="AB149" s="91"/>
      <c r="AC149" s="79"/>
      <c r="AD149" s="79"/>
      <c r="AE149" s="79"/>
      <c r="AF149" s="92"/>
      <c r="AG149" s="92"/>
      <c r="AH149" s="79"/>
      <c r="AI149" s="79"/>
      <c r="AJ149" s="92"/>
      <c r="AK149" s="79"/>
      <c r="AL149" s="79"/>
      <c r="AM149" s="92"/>
      <c r="AN149" s="92"/>
      <c r="AO149" s="92"/>
      <c r="AP149" s="92"/>
      <c r="AQ149" s="92"/>
      <c r="AR149" s="92"/>
      <c r="AS149" s="92"/>
      <c r="AT149" s="79"/>
      <c r="AU149" s="79"/>
      <c r="AV149" s="92" t="e">
        <f>VLOOKUP(I149, Kiegészítő_Mátrix!C:E, 3, FALSE)</f>
        <v>#N/A</v>
      </c>
    </row>
    <row r="150" spans="1:48" ht="30" customHeight="1" x14ac:dyDescent="0.3">
      <c r="A150" s="79"/>
      <c r="B150" s="79" t="s">
        <v>368</v>
      </c>
      <c r="C150" s="79" t="s">
        <v>163</v>
      </c>
      <c r="D150" s="80" t="s">
        <v>185</v>
      </c>
      <c r="E150" s="81" t="s">
        <v>370</v>
      </c>
      <c r="F150" s="80" t="s">
        <v>371</v>
      </c>
      <c r="G150" s="81" t="s">
        <v>372</v>
      </c>
      <c r="H150" s="81" t="s">
        <v>797</v>
      </c>
      <c r="I150" s="117">
        <v>1137957</v>
      </c>
      <c r="J150" s="118" t="s">
        <v>206</v>
      </c>
      <c r="K150" s="118" t="s">
        <v>475</v>
      </c>
      <c r="L150" s="119" t="s">
        <v>16</v>
      </c>
      <c r="M150" s="140"/>
      <c r="N150" s="95"/>
      <c r="O150" s="96"/>
      <c r="P150" s="88"/>
      <c r="Q150" s="84"/>
      <c r="R150" s="89"/>
      <c r="S150" s="90"/>
      <c r="T150" s="79"/>
      <c r="U150" s="79"/>
      <c r="V150" s="79"/>
      <c r="W150" s="79"/>
      <c r="X150" s="79"/>
      <c r="Y150" s="79"/>
      <c r="Z150" s="91"/>
      <c r="AA150" s="91"/>
      <c r="AB150" s="91"/>
      <c r="AC150" s="79"/>
      <c r="AD150" s="79"/>
      <c r="AE150" s="79"/>
      <c r="AF150" s="92"/>
      <c r="AG150" s="92"/>
      <c r="AH150" s="79"/>
      <c r="AI150" s="79"/>
      <c r="AJ150" s="92"/>
      <c r="AK150" s="79"/>
      <c r="AL150" s="79"/>
      <c r="AM150" s="92"/>
      <c r="AN150" s="92"/>
      <c r="AO150" s="92"/>
      <c r="AP150" s="92"/>
      <c r="AQ150" s="92"/>
      <c r="AR150" s="92"/>
      <c r="AS150" s="92"/>
      <c r="AT150" s="79"/>
      <c r="AU150" s="79"/>
      <c r="AV150" s="92" t="e">
        <f>VLOOKUP(I150, Kiegészítő_Mátrix!C:E, 3, FALSE)</f>
        <v>#N/A</v>
      </c>
    </row>
    <row r="151" spans="1:48" ht="30" customHeight="1" x14ac:dyDescent="0.3">
      <c r="A151" s="79"/>
      <c r="B151" s="79" t="s">
        <v>368</v>
      </c>
      <c r="C151" s="79" t="s">
        <v>163</v>
      </c>
      <c r="D151" s="80" t="s">
        <v>185</v>
      </c>
      <c r="E151" s="81" t="s">
        <v>370</v>
      </c>
      <c r="F151" s="80" t="s">
        <v>371</v>
      </c>
      <c r="G151" s="81" t="s">
        <v>372</v>
      </c>
      <c r="H151" s="81" t="s">
        <v>797</v>
      </c>
      <c r="I151" s="125">
        <v>1137958</v>
      </c>
      <c r="J151" s="126" t="s">
        <v>207</v>
      </c>
      <c r="K151" s="126" t="s">
        <v>475</v>
      </c>
      <c r="L151" s="101" t="s">
        <v>16</v>
      </c>
      <c r="M151" s="120"/>
      <c r="N151" s="95"/>
      <c r="O151" s="96">
        <v>45292</v>
      </c>
      <c r="P151" s="88"/>
      <c r="Q151" s="84"/>
      <c r="R151" s="89"/>
      <c r="S151" s="90"/>
      <c r="T151" s="79"/>
      <c r="U151" s="79"/>
      <c r="V151" s="79"/>
      <c r="W151" s="79"/>
      <c r="X151" s="79"/>
      <c r="Y151" s="79"/>
      <c r="Z151" s="91"/>
      <c r="AA151" s="91"/>
      <c r="AB151" s="91"/>
      <c r="AC151" s="79"/>
      <c r="AD151" s="79"/>
      <c r="AE151" s="79"/>
      <c r="AF151" s="92"/>
      <c r="AG151" s="92"/>
      <c r="AH151" s="79"/>
      <c r="AI151" s="79"/>
      <c r="AJ151" s="92"/>
      <c r="AK151" s="79"/>
      <c r="AL151" s="79"/>
      <c r="AM151" s="92"/>
      <c r="AN151" s="92"/>
      <c r="AO151" s="92"/>
      <c r="AP151" s="92"/>
      <c r="AQ151" s="92"/>
      <c r="AR151" s="92"/>
      <c r="AS151" s="92"/>
      <c r="AT151" s="79"/>
      <c r="AU151" s="79"/>
      <c r="AV151" s="92" t="e">
        <f>VLOOKUP(I151, Kiegészítő_Mátrix!C:E, 3, FALSE)</f>
        <v>#N/A</v>
      </c>
    </row>
    <row r="152" spans="1:48" ht="30" customHeight="1" x14ac:dyDescent="0.3">
      <c r="A152" s="79"/>
      <c r="B152" s="79" t="s">
        <v>368</v>
      </c>
      <c r="C152" s="79" t="s">
        <v>163</v>
      </c>
      <c r="D152" s="80" t="s">
        <v>185</v>
      </c>
      <c r="E152" s="81" t="s">
        <v>370</v>
      </c>
      <c r="F152" s="80" t="s">
        <v>371</v>
      </c>
      <c r="G152" s="81" t="s">
        <v>372</v>
      </c>
      <c r="H152" s="81" t="s">
        <v>797</v>
      </c>
      <c r="I152" s="125">
        <v>1137959</v>
      </c>
      <c r="J152" s="126" t="s">
        <v>208</v>
      </c>
      <c r="K152" s="126" t="s">
        <v>475</v>
      </c>
      <c r="L152" s="101" t="s">
        <v>16</v>
      </c>
      <c r="M152" s="120"/>
      <c r="N152" s="95"/>
      <c r="O152" s="96">
        <v>45292</v>
      </c>
      <c r="P152" s="88"/>
      <c r="Q152" s="84"/>
      <c r="R152" s="89"/>
      <c r="S152" s="90"/>
      <c r="T152" s="79"/>
      <c r="U152" s="79"/>
      <c r="V152" s="79"/>
      <c r="W152" s="79"/>
      <c r="X152" s="79"/>
      <c r="Y152" s="79"/>
      <c r="Z152" s="91"/>
      <c r="AA152" s="91"/>
      <c r="AB152" s="91"/>
      <c r="AC152" s="79"/>
      <c r="AD152" s="79"/>
      <c r="AE152" s="79"/>
      <c r="AF152" s="92"/>
      <c r="AG152" s="92"/>
      <c r="AH152" s="79"/>
      <c r="AI152" s="79"/>
      <c r="AJ152" s="92"/>
      <c r="AK152" s="79"/>
      <c r="AL152" s="79"/>
      <c r="AM152" s="92"/>
      <c r="AN152" s="92"/>
      <c r="AO152" s="92"/>
      <c r="AP152" s="92"/>
      <c r="AQ152" s="92"/>
      <c r="AR152" s="92"/>
      <c r="AS152" s="92"/>
      <c r="AT152" s="79"/>
      <c r="AU152" s="79"/>
      <c r="AV152" s="92" t="e">
        <f>VLOOKUP(I152, Kiegészítő_Mátrix!C:E, 3, FALSE)</f>
        <v>#N/A</v>
      </c>
    </row>
    <row r="153" spans="1:48" ht="30" customHeight="1" x14ac:dyDescent="0.3">
      <c r="A153" s="79"/>
      <c r="B153" s="79" t="s">
        <v>368</v>
      </c>
      <c r="C153" s="79" t="s">
        <v>163</v>
      </c>
      <c r="D153" s="80" t="s">
        <v>185</v>
      </c>
      <c r="E153" s="81" t="s">
        <v>370</v>
      </c>
      <c r="F153" s="80" t="s">
        <v>371</v>
      </c>
      <c r="G153" s="81" t="s">
        <v>372</v>
      </c>
      <c r="H153" s="81" t="s">
        <v>797</v>
      </c>
      <c r="I153" s="125">
        <v>1137960</v>
      </c>
      <c r="J153" s="126" t="s">
        <v>209</v>
      </c>
      <c r="K153" s="126" t="s">
        <v>475</v>
      </c>
      <c r="L153" s="101" t="s">
        <v>16</v>
      </c>
      <c r="M153" s="120"/>
      <c r="N153" s="95"/>
      <c r="O153" s="96">
        <v>45292</v>
      </c>
      <c r="P153" s="88"/>
      <c r="Q153" s="84"/>
      <c r="R153" s="89"/>
      <c r="S153" s="90"/>
      <c r="T153" s="79"/>
      <c r="U153" s="79"/>
      <c r="V153" s="79"/>
      <c r="W153" s="79"/>
      <c r="X153" s="79"/>
      <c r="Y153" s="79"/>
      <c r="Z153" s="91"/>
      <c r="AA153" s="91"/>
      <c r="AB153" s="91"/>
      <c r="AC153" s="79"/>
      <c r="AD153" s="79"/>
      <c r="AE153" s="79"/>
      <c r="AF153" s="92"/>
      <c r="AG153" s="92"/>
      <c r="AH153" s="79"/>
      <c r="AI153" s="79"/>
      <c r="AJ153" s="92"/>
      <c r="AK153" s="79"/>
      <c r="AL153" s="79"/>
      <c r="AM153" s="92"/>
      <c r="AN153" s="92"/>
      <c r="AO153" s="92"/>
      <c r="AP153" s="92"/>
      <c r="AQ153" s="92"/>
      <c r="AR153" s="92"/>
      <c r="AS153" s="92"/>
      <c r="AT153" s="79"/>
      <c r="AU153" s="79"/>
      <c r="AV153" s="92" t="e">
        <f>VLOOKUP(I153, Kiegészítő_Mátrix!C:E, 3, FALSE)</f>
        <v>#N/A</v>
      </c>
    </row>
    <row r="154" spans="1:48" s="1" customFormat="1" x14ac:dyDescent="0.3">
      <c r="A154" s="155"/>
      <c r="B154" s="155"/>
      <c r="C154" s="155"/>
      <c r="D154" s="98"/>
      <c r="E154" s="83"/>
      <c r="F154" s="98"/>
      <c r="G154" s="83"/>
      <c r="H154" s="81"/>
      <c r="I154" s="83"/>
      <c r="J154" s="133"/>
      <c r="K154" s="133"/>
      <c r="L154" s="133"/>
      <c r="M154" s="156"/>
      <c r="N154" s="156"/>
      <c r="O154" s="157"/>
      <c r="P154" s="137"/>
      <c r="Q154" s="133"/>
      <c r="R154" s="135"/>
      <c r="S154" s="104"/>
      <c r="T154" s="155"/>
      <c r="U154" s="155"/>
      <c r="V154" s="155"/>
      <c r="W154" s="155"/>
      <c r="X154" s="155"/>
      <c r="Y154" s="155"/>
      <c r="Z154" s="137"/>
      <c r="AA154" s="137"/>
      <c r="AB154" s="137"/>
      <c r="AC154" s="155"/>
      <c r="AD154" s="155"/>
      <c r="AE154" s="155"/>
      <c r="AF154" s="132"/>
      <c r="AG154" s="132"/>
      <c r="AH154" s="155"/>
      <c r="AI154" s="155"/>
      <c r="AJ154" s="132"/>
      <c r="AK154" s="155"/>
      <c r="AL154" s="155"/>
      <c r="AM154" s="132"/>
      <c r="AN154" s="132"/>
      <c r="AO154" s="132"/>
      <c r="AP154" s="132"/>
      <c r="AQ154" s="158"/>
      <c r="AR154" s="158"/>
      <c r="AS154" s="158"/>
      <c r="AT154" s="155"/>
      <c r="AU154" s="155"/>
      <c r="AV154" s="132" t="e">
        <f>VLOOKUP(I154, Kiegészítő_Mátrix!C:E, 3, FALSE)</f>
        <v>#N/A</v>
      </c>
    </row>
    <row r="155" spans="1:48" ht="30" customHeight="1" x14ac:dyDescent="0.3">
      <c r="A155" s="79"/>
      <c r="B155" s="79" t="s">
        <v>368</v>
      </c>
      <c r="C155" s="79" t="s">
        <v>163</v>
      </c>
      <c r="D155" s="80" t="s">
        <v>185</v>
      </c>
      <c r="E155" s="81" t="s">
        <v>370</v>
      </c>
      <c r="F155" s="80" t="s">
        <v>373</v>
      </c>
      <c r="G155" s="81" t="s">
        <v>374</v>
      </c>
      <c r="H155" s="81" t="s">
        <v>988</v>
      </c>
      <c r="I155" s="123" t="s">
        <v>210</v>
      </c>
      <c r="J155" s="100" t="s">
        <v>211</v>
      </c>
      <c r="K155" s="100" t="s">
        <v>2158</v>
      </c>
      <c r="L155" s="159" t="s">
        <v>4</v>
      </c>
      <c r="M155" s="160">
        <v>15240</v>
      </c>
      <c r="N155" s="86" t="s">
        <v>17</v>
      </c>
      <c r="O155" s="87">
        <v>45292</v>
      </c>
      <c r="P155" s="91" t="s">
        <v>597</v>
      </c>
      <c r="Q155" s="84" t="s">
        <v>5</v>
      </c>
      <c r="R155" s="89" t="s">
        <v>935</v>
      </c>
      <c r="S155" s="90" t="s">
        <v>936</v>
      </c>
      <c r="T155" s="79"/>
      <c r="U155" s="79"/>
      <c r="V155" s="79"/>
      <c r="W155" s="79"/>
      <c r="X155" s="79"/>
      <c r="Y155" s="79"/>
      <c r="Z155" s="91"/>
      <c r="AA155" s="91"/>
      <c r="AB155" s="91"/>
      <c r="AC155" s="79"/>
      <c r="AD155" s="79"/>
      <c r="AE155" s="79"/>
      <c r="AF155" s="92"/>
      <c r="AG155" s="92"/>
      <c r="AH155" s="79"/>
      <c r="AI155" s="79"/>
      <c r="AJ155" s="92" t="s">
        <v>885</v>
      </c>
      <c r="AK155" s="79"/>
      <c r="AL155" s="79" t="s">
        <v>507</v>
      </c>
      <c r="AM155" s="92" t="s">
        <v>409</v>
      </c>
      <c r="AN155" s="92" t="s">
        <v>937</v>
      </c>
      <c r="AO155" s="92" t="s">
        <v>890</v>
      </c>
      <c r="AP155" s="92"/>
      <c r="AQ155" s="92" t="s">
        <v>1822</v>
      </c>
      <c r="AR155" s="92" t="s">
        <v>1823</v>
      </c>
      <c r="AS155" s="92" t="s">
        <v>1824</v>
      </c>
      <c r="AT155" s="79"/>
      <c r="AU155" s="79"/>
      <c r="AV155" s="92" t="str">
        <f>VLOOKUP(I155, Kiegészítő_Mátrix!C:E, 3, FALSE)</f>
        <v>Cara FullFace kiegészítők</v>
      </c>
    </row>
    <row r="156" spans="1:48" ht="30" customHeight="1" x14ac:dyDescent="0.3">
      <c r="A156" s="79"/>
      <c r="B156" s="79" t="s">
        <v>368</v>
      </c>
      <c r="C156" s="79" t="s">
        <v>163</v>
      </c>
      <c r="D156" s="80" t="s">
        <v>185</v>
      </c>
      <c r="E156" s="81" t="s">
        <v>370</v>
      </c>
      <c r="F156" s="80" t="s">
        <v>373</v>
      </c>
      <c r="G156" s="81" t="s">
        <v>374</v>
      </c>
      <c r="H156" s="81" t="s">
        <v>988</v>
      </c>
      <c r="I156" s="123" t="s">
        <v>212</v>
      </c>
      <c r="J156" s="100" t="s">
        <v>213</v>
      </c>
      <c r="K156" s="100" t="s">
        <v>2158</v>
      </c>
      <c r="L156" s="159" t="s">
        <v>4</v>
      </c>
      <c r="M156" s="160">
        <v>15240</v>
      </c>
      <c r="N156" s="86" t="s">
        <v>17</v>
      </c>
      <c r="O156" s="87">
        <v>45292</v>
      </c>
      <c r="P156" s="91" t="s">
        <v>598</v>
      </c>
      <c r="Q156" s="84" t="s">
        <v>5</v>
      </c>
      <c r="R156" s="89" t="s">
        <v>935</v>
      </c>
      <c r="S156" s="90" t="s">
        <v>936</v>
      </c>
      <c r="T156" s="79"/>
      <c r="U156" s="79"/>
      <c r="V156" s="79"/>
      <c r="W156" s="79"/>
      <c r="X156" s="79"/>
      <c r="Y156" s="79"/>
      <c r="Z156" s="91"/>
      <c r="AA156" s="91"/>
      <c r="AB156" s="91"/>
      <c r="AC156" s="79"/>
      <c r="AD156" s="79"/>
      <c r="AE156" s="79"/>
      <c r="AF156" s="92"/>
      <c r="AG156" s="92"/>
      <c r="AH156" s="79"/>
      <c r="AI156" s="79"/>
      <c r="AJ156" s="92" t="s">
        <v>885</v>
      </c>
      <c r="AK156" s="79"/>
      <c r="AL156" s="79" t="s">
        <v>507</v>
      </c>
      <c r="AM156" s="92" t="s">
        <v>409</v>
      </c>
      <c r="AN156" s="92" t="s">
        <v>938</v>
      </c>
      <c r="AO156" s="92" t="s">
        <v>890</v>
      </c>
      <c r="AP156" s="92"/>
      <c r="AQ156" s="92" t="s">
        <v>1825</v>
      </c>
      <c r="AR156" s="92" t="s">
        <v>1826</v>
      </c>
      <c r="AS156" s="92" t="s">
        <v>1827</v>
      </c>
      <c r="AT156" s="79"/>
      <c r="AU156" s="79"/>
      <c r="AV156" s="92" t="str">
        <f>VLOOKUP(I156, Kiegészítő_Mátrix!C:E, 3, FALSE)</f>
        <v>Cara FullFace kiegészítők</v>
      </c>
    </row>
    <row r="157" spans="1:48" ht="30" customHeight="1" x14ac:dyDescent="0.3">
      <c r="A157" s="79"/>
      <c r="B157" s="79" t="s">
        <v>368</v>
      </c>
      <c r="C157" s="79" t="s">
        <v>163</v>
      </c>
      <c r="D157" s="80" t="s">
        <v>185</v>
      </c>
      <c r="E157" s="81" t="s">
        <v>370</v>
      </c>
      <c r="F157" s="80" t="s">
        <v>373</v>
      </c>
      <c r="G157" s="81" t="s">
        <v>374</v>
      </c>
      <c r="H157" s="81" t="s">
        <v>988</v>
      </c>
      <c r="I157" s="123" t="s">
        <v>214</v>
      </c>
      <c r="J157" s="100" t="s">
        <v>215</v>
      </c>
      <c r="K157" s="100" t="s">
        <v>2158</v>
      </c>
      <c r="L157" s="159" t="s">
        <v>4</v>
      </c>
      <c r="M157" s="160">
        <v>15240</v>
      </c>
      <c r="N157" s="86" t="s">
        <v>17</v>
      </c>
      <c r="O157" s="87">
        <v>45292</v>
      </c>
      <c r="P157" s="91" t="s">
        <v>599</v>
      </c>
      <c r="Q157" s="84" t="s">
        <v>5</v>
      </c>
      <c r="R157" s="89" t="s">
        <v>935</v>
      </c>
      <c r="S157" s="90" t="s">
        <v>936</v>
      </c>
      <c r="T157" s="79"/>
      <c r="U157" s="79"/>
      <c r="V157" s="79"/>
      <c r="W157" s="79"/>
      <c r="X157" s="79"/>
      <c r="Y157" s="79"/>
      <c r="Z157" s="91"/>
      <c r="AA157" s="91"/>
      <c r="AB157" s="91"/>
      <c r="AC157" s="79"/>
      <c r="AD157" s="79"/>
      <c r="AE157" s="79"/>
      <c r="AF157" s="92"/>
      <c r="AG157" s="92"/>
      <c r="AH157" s="79"/>
      <c r="AI157" s="79"/>
      <c r="AJ157" s="92" t="s">
        <v>885</v>
      </c>
      <c r="AK157" s="79"/>
      <c r="AL157" s="79" t="s">
        <v>507</v>
      </c>
      <c r="AM157" s="92" t="s">
        <v>409</v>
      </c>
      <c r="AN157" s="92" t="s">
        <v>939</v>
      </c>
      <c r="AO157" s="92" t="s">
        <v>890</v>
      </c>
      <c r="AP157" s="92"/>
      <c r="AQ157" s="92" t="s">
        <v>1828</v>
      </c>
      <c r="AR157" s="92" t="s">
        <v>1829</v>
      </c>
      <c r="AS157" s="92" t="s">
        <v>1830</v>
      </c>
      <c r="AT157" s="79"/>
      <c r="AU157" s="79"/>
      <c r="AV157" s="92" t="str">
        <f>VLOOKUP(I157, Kiegészítő_Mátrix!C:E, 3, FALSE)</f>
        <v>Cara FullFace kiegészítők</v>
      </c>
    </row>
    <row r="158" spans="1:48" s="10" customFormat="1" ht="30" customHeight="1" x14ac:dyDescent="0.3">
      <c r="A158" s="118"/>
      <c r="B158" s="118" t="s">
        <v>368</v>
      </c>
      <c r="C158" s="118" t="s">
        <v>163</v>
      </c>
      <c r="D158" s="117" t="s">
        <v>185</v>
      </c>
      <c r="E158" s="138" t="s">
        <v>370</v>
      </c>
      <c r="F158" s="117" t="s">
        <v>373</v>
      </c>
      <c r="G158" s="138" t="s">
        <v>374</v>
      </c>
      <c r="H158" s="81" t="s">
        <v>988</v>
      </c>
      <c r="I158" s="117" t="s">
        <v>216</v>
      </c>
      <c r="J158" s="118" t="s">
        <v>217</v>
      </c>
      <c r="K158" s="126" t="s">
        <v>2158</v>
      </c>
      <c r="L158" s="119" t="s">
        <v>4</v>
      </c>
      <c r="M158" s="140">
        <v>15240</v>
      </c>
      <c r="N158" s="141" t="s">
        <v>17</v>
      </c>
      <c r="O158" s="142"/>
      <c r="P158" s="143" t="s">
        <v>534</v>
      </c>
      <c r="Q158" s="119" t="s">
        <v>5</v>
      </c>
      <c r="R158" s="89" t="s">
        <v>935</v>
      </c>
      <c r="S158" s="90" t="s">
        <v>936</v>
      </c>
      <c r="T158" s="118"/>
      <c r="U158" s="118"/>
      <c r="V158" s="118"/>
      <c r="W158" s="118"/>
      <c r="X158" s="118"/>
      <c r="Y158" s="118"/>
      <c r="Z158" s="143"/>
      <c r="AA158" s="143"/>
      <c r="AB158" s="143"/>
      <c r="AC158" s="118"/>
      <c r="AD158" s="118"/>
      <c r="AE158" s="118"/>
      <c r="AF158" s="145"/>
      <c r="AG158" s="145"/>
      <c r="AH158" s="118"/>
      <c r="AI158" s="118"/>
      <c r="AJ158" s="145" t="s">
        <v>885</v>
      </c>
      <c r="AK158" s="118"/>
      <c r="AL158" s="79" t="s">
        <v>507</v>
      </c>
      <c r="AM158" s="92" t="s">
        <v>409</v>
      </c>
      <c r="AN158" s="92" t="s">
        <v>940</v>
      </c>
      <c r="AO158" s="92" t="s">
        <v>890</v>
      </c>
      <c r="AP158" s="145"/>
      <c r="AQ158" s="92" t="s">
        <v>1831</v>
      </c>
      <c r="AR158" s="92" t="s">
        <v>1832</v>
      </c>
      <c r="AS158" s="92" t="s">
        <v>1833</v>
      </c>
      <c r="AT158" s="118"/>
      <c r="AU158" s="118"/>
      <c r="AV158" s="145" t="str">
        <f>VLOOKUP(I158, Kiegészítő_Mátrix!C:E, 3, FALSE)</f>
        <v>Cara FullFace kiegészítők</v>
      </c>
    </row>
    <row r="159" spans="1:48" ht="30" customHeight="1" x14ac:dyDescent="0.3">
      <c r="A159" s="79"/>
      <c r="B159" s="79" t="s">
        <v>368</v>
      </c>
      <c r="C159" s="79" t="s">
        <v>163</v>
      </c>
      <c r="D159" s="80" t="s">
        <v>185</v>
      </c>
      <c r="E159" s="81" t="s">
        <v>370</v>
      </c>
      <c r="F159" s="80" t="s">
        <v>373</v>
      </c>
      <c r="G159" s="81" t="s">
        <v>374</v>
      </c>
      <c r="H159" s="81" t="s">
        <v>989</v>
      </c>
      <c r="I159" s="147" t="s">
        <v>224</v>
      </c>
      <c r="J159" s="148" t="s">
        <v>225</v>
      </c>
      <c r="K159" s="126" t="s">
        <v>2159</v>
      </c>
      <c r="L159" s="149" t="s">
        <v>4</v>
      </c>
      <c r="M159" s="120">
        <v>15240</v>
      </c>
      <c r="N159" s="86" t="s">
        <v>17</v>
      </c>
      <c r="O159" s="87"/>
      <c r="P159" s="91" t="s">
        <v>597</v>
      </c>
      <c r="Q159" s="84" t="s">
        <v>17</v>
      </c>
      <c r="R159" s="89" t="s">
        <v>942</v>
      </c>
      <c r="S159" s="90" t="s">
        <v>943</v>
      </c>
      <c r="T159" s="79"/>
      <c r="U159" s="79"/>
      <c r="V159" s="79"/>
      <c r="W159" s="79"/>
      <c r="X159" s="79"/>
      <c r="Y159" s="79"/>
      <c r="Z159" s="91"/>
      <c r="AA159" s="91"/>
      <c r="AB159" s="91"/>
      <c r="AC159" s="79"/>
      <c r="AD159" s="79"/>
      <c r="AE159" s="79"/>
      <c r="AF159" s="92"/>
      <c r="AG159" s="92"/>
      <c r="AH159" s="79"/>
      <c r="AI159" s="79"/>
      <c r="AJ159" s="145" t="s">
        <v>885</v>
      </c>
      <c r="AK159" s="118"/>
      <c r="AL159" s="79" t="s">
        <v>507</v>
      </c>
      <c r="AM159" s="92" t="s">
        <v>409</v>
      </c>
      <c r="AN159" s="92" t="s">
        <v>944</v>
      </c>
      <c r="AO159" s="92" t="s">
        <v>890</v>
      </c>
      <c r="AP159" s="92"/>
      <c r="AQ159" s="92" t="s">
        <v>1834</v>
      </c>
      <c r="AR159" s="92" t="s">
        <v>1835</v>
      </c>
      <c r="AS159" s="92" t="s">
        <v>1836</v>
      </c>
      <c r="AT159" s="79"/>
      <c r="AU159" s="79"/>
      <c r="AV159" s="92" t="e">
        <f>VLOOKUP(I159, Kiegészítő_Mátrix!C:E, 3, FALSE)</f>
        <v>#N/A</v>
      </c>
    </row>
    <row r="160" spans="1:48" ht="30" customHeight="1" x14ac:dyDescent="0.3">
      <c r="A160" s="79"/>
      <c r="B160" s="79" t="s">
        <v>368</v>
      </c>
      <c r="C160" s="79" t="s">
        <v>163</v>
      </c>
      <c r="D160" s="80" t="s">
        <v>185</v>
      </c>
      <c r="E160" s="81" t="s">
        <v>370</v>
      </c>
      <c r="F160" s="80" t="s">
        <v>373</v>
      </c>
      <c r="G160" s="81" t="s">
        <v>374</v>
      </c>
      <c r="H160" s="81" t="s">
        <v>989</v>
      </c>
      <c r="I160" s="147" t="s">
        <v>226</v>
      </c>
      <c r="J160" s="148" t="s">
        <v>227</v>
      </c>
      <c r="K160" s="126" t="s">
        <v>2159</v>
      </c>
      <c r="L160" s="149" t="s">
        <v>4</v>
      </c>
      <c r="M160" s="120">
        <v>15240</v>
      </c>
      <c r="N160" s="86" t="s">
        <v>17</v>
      </c>
      <c r="O160" s="87">
        <v>46204</v>
      </c>
      <c r="P160" s="91" t="s">
        <v>598</v>
      </c>
      <c r="Q160" s="84" t="s">
        <v>17</v>
      </c>
      <c r="R160" s="89" t="s">
        <v>942</v>
      </c>
      <c r="S160" s="90" t="s">
        <v>943</v>
      </c>
      <c r="T160" s="79"/>
      <c r="U160" s="79"/>
      <c r="V160" s="79"/>
      <c r="W160" s="79"/>
      <c r="X160" s="79"/>
      <c r="Y160" s="79"/>
      <c r="Z160" s="91"/>
      <c r="AA160" s="91"/>
      <c r="AB160" s="91"/>
      <c r="AC160" s="79"/>
      <c r="AD160" s="79"/>
      <c r="AE160" s="79"/>
      <c r="AF160" s="92"/>
      <c r="AG160" s="92"/>
      <c r="AH160" s="79"/>
      <c r="AI160" s="79"/>
      <c r="AJ160" s="145" t="s">
        <v>885</v>
      </c>
      <c r="AK160" s="118"/>
      <c r="AL160" s="79" t="s">
        <v>507</v>
      </c>
      <c r="AM160" s="92" t="s">
        <v>409</v>
      </c>
      <c r="AN160" s="92" t="s">
        <v>945</v>
      </c>
      <c r="AO160" s="92" t="s">
        <v>890</v>
      </c>
      <c r="AP160" s="92"/>
      <c r="AQ160" s="92" t="s">
        <v>1837</v>
      </c>
      <c r="AR160" s="92" t="s">
        <v>1838</v>
      </c>
      <c r="AS160" s="92" t="s">
        <v>1839</v>
      </c>
      <c r="AT160" s="79"/>
      <c r="AU160" s="79"/>
      <c r="AV160" s="92" t="e">
        <f>VLOOKUP(I160, Kiegészítő_Mátrix!C:E, 3, FALSE)</f>
        <v>#N/A</v>
      </c>
    </row>
    <row r="161" spans="1:48" ht="30" customHeight="1" x14ac:dyDescent="0.3">
      <c r="A161" s="79"/>
      <c r="B161" s="79" t="s">
        <v>368</v>
      </c>
      <c r="C161" s="79" t="s">
        <v>163</v>
      </c>
      <c r="D161" s="80" t="s">
        <v>185</v>
      </c>
      <c r="E161" s="81" t="s">
        <v>370</v>
      </c>
      <c r="F161" s="80" t="s">
        <v>373</v>
      </c>
      <c r="G161" s="81" t="s">
        <v>374</v>
      </c>
      <c r="H161" s="81" t="s">
        <v>989</v>
      </c>
      <c r="I161" s="123" t="s">
        <v>228</v>
      </c>
      <c r="J161" s="100" t="s">
        <v>229</v>
      </c>
      <c r="K161" s="100" t="s">
        <v>2158</v>
      </c>
      <c r="L161" s="159" t="s">
        <v>4</v>
      </c>
      <c r="M161" s="160">
        <v>15240</v>
      </c>
      <c r="N161" s="86" t="s">
        <v>17</v>
      </c>
      <c r="O161" s="87">
        <v>45292</v>
      </c>
      <c r="P161" s="91" t="s">
        <v>599</v>
      </c>
      <c r="Q161" s="84" t="s">
        <v>17</v>
      </c>
      <c r="R161" s="89" t="s">
        <v>942</v>
      </c>
      <c r="S161" s="90" t="s">
        <v>943</v>
      </c>
      <c r="T161" s="79"/>
      <c r="U161" s="79"/>
      <c r="V161" s="79"/>
      <c r="W161" s="79"/>
      <c r="X161" s="79"/>
      <c r="Y161" s="79"/>
      <c r="Z161" s="91"/>
      <c r="AA161" s="91"/>
      <c r="AB161" s="91"/>
      <c r="AC161" s="79"/>
      <c r="AD161" s="79"/>
      <c r="AE161" s="79"/>
      <c r="AF161" s="92"/>
      <c r="AG161" s="92"/>
      <c r="AH161" s="79"/>
      <c r="AI161" s="79"/>
      <c r="AJ161" s="145" t="s">
        <v>885</v>
      </c>
      <c r="AK161" s="118"/>
      <c r="AL161" s="79" t="s">
        <v>507</v>
      </c>
      <c r="AM161" s="92" t="s">
        <v>409</v>
      </c>
      <c r="AN161" s="92" t="s">
        <v>946</v>
      </c>
      <c r="AO161" s="92" t="s">
        <v>890</v>
      </c>
      <c r="AP161" s="92"/>
      <c r="AQ161" s="92" t="s">
        <v>1840</v>
      </c>
      <c r="AR161" s="92" t="s">
        <v>1841</v>
      </c>
      <c r="AS161" s="92" t="s">
        <v>1842</v>
      </c>
      <c r="AT161" s="79"/>
      <c r="AU161" s="79"/>
      <c r="AV161" s="92" t="e">
        <f>VLOOKUP(I161, Kiegészítő_Mátrix!C:E, 3, FALSE)</f>
        <v>#N/A</v>
      </c>
    </row>
    <row r="162" spans="1:48" ht="30" customHeight="1" x14ac:dyDescent="0.3">
      <c r="A162" s="79"/>
      <c r="B162" s="79" t="s">
        <v>368</v>
      </c>
      <c r="C162" s="79" t="s">
        <v>163</v>
      </c>
      <c r="D162" s="80" t="s">
        <v>185</v>
      </c>
      <c r="E162" s="81" t="s">
        <v>370</v>
      </c>
      <c r="F162" s="80" t="s">
        <v>373</v>
      </c>
      <c r="G162" s="81" t="s">
        <v>374</v>
      </c>
      <c r="H162" s="81" t="s">
        <v>990</v>
      </c>
      <c r="I162" s="117" t="s">
        <v>230</v>
      </c>
      <c r="J162" s="118" t="s">
        <v>231</v>
      </c>
      <c r="K162" s="126" t="s">
        <v>2159</v>
      </c>
      <c r="L162" s="149" t="s">
        <v>4</v>
      </c>
      <c r="M162" s="120">
        <v>19050</v>
      </c>
      <c r="N162" s="86" t="s">
        <v>17</v>
      </c>
      <c r="O162" s="87"/>
      <c r="P162" s="91" t="s">
        <v>597</v>
      </c>
      <c r="Q162" s="84" t="s">
        <v>17</v>
      </c>
      <c r="R162" s="89" t="s">
        <v>951</v>
      </c>
      <c r="S162" s="90" t="s">
        <v>952</v>
      </c>
      <c r="T162" s="79"/>
      <c r="U162" s="79"/>
      <c r="V162" s="79"/>
      <c r="W162" s="79"/>
      <c r="X162" s="79"/>
      <c r="Y162" s="79"/>
      <c r="Z162" s="91"/>
      <c r="AA162" s="91"/>
      <c r="AB162" s="91"/>
      <c r="AC162" s="79"/>
      <c r="AD162" s="79"/>
      <c r="AE162" s="79"/>
      <c r="AF162" s="92"/>
      <c r="AG162" s="92"/>
      <c r="AH162" s="79"/>
      <c r="AI162" s="79"/>
      <c r="AJ162" s="145" t="s">
        <v>885</v>
      </c>
      <c r="AK162" s="118"/>
      <c r="AL162" s="79" t="s">
        <v>507</v>
      </c>
      <c r="AM162" s="92" t="s">
        <v>409</v>
      </c>
      <c r="AN162" s="92" t="s">
        <v>953</v>
      </c>
      <c r="AO162" s="92" t="s">
        <v>890</v>
      </c>
      <c r="AP162" s="92"/>
      <c r="AQ162" s="92" t="s">
        <v>1843</v>
      </c>
      <c r="AR162" s="92" t="s">
        <v>1844</v>
      </c>
      <c r="AS162" s="92" t="s">
        <v>1845</v>
      </c>
      <c r="AT162" s="79"/>
      <c r="AU162" s="79"/>
      <c r="AV162" s="92" t="str">
        <f>VLOOKUP(I162, Kiegészítő_Mátrix!C:E, 3, FALSE)</f>
        <v>Joyce Easy NEXT FullFace kiegészítők</v>
      </c>
    </row>
    <row r="163" spans="1:48" ht="30" customHeight="1" x14ac:dyDescent="0.3">
      <c r="A163" s="79"/>
      <c r="B163" s="79" t="s">
        <v>368</v>
      </c>
      <c r="C163" s="79" t="s">
        <v>163</v>
      </c>
      <c r="D163" s="80" t="s">
        <v>185</v>
      </c>
      <c r="E163" s="81" t="s">
        <v>370</v>
      </c>
      <c r="F163" s="80" t="s">
        <v>373</v>
      </c>
      <c r="G163" s="81" t="s">
        <v>374</v>
      </c>
      <c r="H163" s="81" t="s">
        <v>990</v>
      </c>
      <c r="I163" s="123" t="s">
        <v>232</v>
      </c>
      <c r="J163" s="100" t="s">
        <v>233</v>
      </c>
      <c r="K163" s="79" t="s">
        <v>2158</v>
      </c>
      <c r="L163" s="159" t="s">
        <v>4</v>
      </c>
      <c r="M163" s="160">
        <v>19050</v>
      </c>
      <c r="N163" s="86" t="s">
        <v>17</v>
      </c>
      <c r="O163" s="87">
        <v>45962</v>
      </c>
      <c r="P163" s="91" t="s">
        <v>598</v>
      </c>
      <c r="Q163" s="84" t="s">
        <v>17</v>
      </c>
      <c r="R163" s="89" t="s">
        <v>951</v>
      </c>
      <c r="S163" s="90" t="s">
        <v>952</v>
      </c>
      <c r="T163" s="79"/>
      <c r="U163" s="79"/>
      <c r="V163" s="79"/>
      <c r="W163" s="79"/>
      <c r="X163" s="79"/>
      <c r="Y163" s="79"/>
      <c r="Z163" s="91"/>
      <c r="AA163" s="91"/>
      <c r="AB163" s="91"/>
      <c r="AC163" s="79"/>
      <c r="AD163" s="79"/>
      <c r="AE163" s="79"/>
      <c r="AF163" s="92"/>
      <c r="AG163" s="92"/>
      <c r="AH163" s="79"/>
      <c r="AI163" s="79"/>
      <c r="AJ163" s="145" t="s">
        <v>885</v>
      </c>
      <c r="AK163" s="118"/>
      <c r="AL163" s="79" t="s">
        <v>507</v>
      </c>
      <c r="AM163" s="92" t="s">
        <v>409</v>
      </c>
      <c r="AN163" s="92" t="s">
        <v>953</v>
      </c>
      <c r="AO163" s="92" t="s">
        <v>890</v>
      </c>
      <c r="AP163" s="92"/>
      <c r="AQ163" s="92" t="s">
        <v>1846</v>
      </c>
      <c r="AR163" s="92" t="s">
        <v>1847</v>
      </c>
      <c r="AS163" s="92" t="s">
        <v>1848</v>
      </c>
      <c r="AT163" s="79"/>
      <c r="AU163" s="79"/>
      <c r="AV163" s="92" t="str">
        <f>VLOOKUP(I163, Kiegészítő_Mátrix!C:E, 3, FALSE)</f>
        <v>Joyce Easy NEXT FullFace kiegészítők</v>
      </c>
    </row>
    <row r="164" spans="1:48" ht="30" customHeight="1" x14ac:dyDescent="0.3">
      <c r="A164" s="79"/>
      <c r="B164" s="79" t="s">
        <v>368</v>
      </c>
      <c r="C164" s="79" t="s">
        <v>163</v>
      </c>
      <c r="D164" s="80" t="s">
        <v>185</v>
      </c>
      <c r="E164" s="81" t="s">
        <v>370</v>
      </c>
      <c r="F164" s="80" t="s">
        <v>373</v>
      </c>
      <c r="G164" s="81" t="s">
        <v>374</v>
      </c>
      <c r="H164" s="81" t="s">
        <v>990</v>
      </c>
      <c r="I164" s="123" t="s">
        <v>234</v>
      </c>
      <c r="J164" s="100" t="s">
        <v>235</v>
      </c>
      <c r="K164" s="79" t="s">
        <v>2158</v>
      </c>
      <c r="L164" s="159" t="s">
        <v>4</v>
      </c>
      <c r="M164" s="160">
        <v>19050</v>
      </c>
      <c r="N164" s="86" t="s">
        <v>17</v>
      </c>
      <c r="O164" s="87">
        <v>46023</v>
      </c>
      <c r="P164" s="91" t="s">
        <v>599</v>
      </c>
      <c r="Q164" s="84" t="s">
        <v>17</v>
      </c>
      <c r="R164" s="89" t="s">
        <v>951</v>
      </c>
      <c r="S164" s="90" t="s">
        <v>952</v>
      </c>
      <c r="T164" s="79"/>
      <c r="U164" s="79"/>
      <c r="V164" s="79"/>
      <c r="W164" s="79"/>
      <c r="X164" s="79"/>
      <c r="Y164" s="79"/>
      <c r="Z164" s="91"/>
      <c r="AA164" s="91"/>
      <c r="AB164" s="91"/>
      <c r="AC164" s="79"/>
      <c r="AD164" s="79"/>
      <c r="AE164" s="79"/>
      <c r="AF164" s="92"/>
      <c r="AG164" s="92"/>
      <c r="AH164" s="79"/>
      <c r="AI164" s="79"/>
      <c r="AJ164" s="145" t="s">
        <v>885</v>
      </c>
      <c r="AK164" s="118"/>
      <c r="AL164" s="79" t="s">
        <v>507</v>
      </c>
      <c r="AM164" s="92" t="s">
        <v>409</v>
      </c>
      <c r="AN164" s="92" t="s">
        <v>953</v>
      </c>
      <c r="AO164" s="92" t="s">
        <v>890</v>
      </c>
      <c r="AP164" s="92"/>
      <c r="AQ164" s="92" t="s">
        <v>1849</v>
      </c>
      <c r="AR164" s="92" t="s">
        <v>1850</v>
      </c>
      <c r="AS164" s="92" t="s">
        <v>1851</v>
      </c>
      <c r="AT164" s="79"/>
      <c r="AU164" s="79"/>
      <c r="AV164" s="92" t="str">
        <f>VLOOKUP(I164, Kiegészítő_Mátrix!C:E, 3, FALSE)</f>
        <v>Joyce Easy NEXT FullFace kiegészítők</v>
      </c>
    </row>
    <row r="165" spans="1:48" ht="30" customHeight="1" x14ac:dyDescent="0.3">
      <c r="A165" s="79"/>
      <c r="B165" s="79" t="s">
        <v>368</v>
      </c>
      <c r="C165" s="79" t="s">
        <v>163</v>
      </c>
      <c r="D165" s="80" t="s">
        <v>185</v>
      </c>
      <c r="E165" s="81" t="s">
        <v>370</v>
      </c>
      <c r="F165" s="80" t="s">
        <v>373</v>
      </c>
      <c r="G165" s="81" t="s">
        <v>374</v>
      </c>
      <c r="H165" s="81" t="s">
        <v>991</v>
      </c>
      <c r="I165" s="147" t="s">
        <v>1298</v>
      </c>
      <c r="J165" s="118" t="s">
        <v>934</v>
      </c>
      <c r="K165" s="126" t="s">
        <v>2158</v>
      </c>
      <c r="L165" s="149" t="s">
        <v>4</v>
      </c>
      <c r="M165" s="120"/>
      <c r="N165" s="86" t="s">
        <v>17</v>
      </c>
      <c r="O165" s="87"/>
      <c r="P165" s="91" t="s">
        <v>941</v>
      </c>
      <c r="Q165" s="84" t="s">
        <v>17</v>
      </c>
      <c r="R165" s="89" t="s">
        <v>947</v>
      </c>
      <c r="S165" s="90" t="s">
        <v>948</v>
      </c>
      <c r="T165" s="79"/>
      <c r="U165" s="79"/>
      <c r="V165" s="79"/>
      <c r="W165" s="79"/>
      <c r="X165" s="79"/>
      <c r="Y165" s="79"/>
      <c r="Z165" s="91"/>
      <c r="AA165" s="91"/>
      <c r="AB165" s="91"/>
      <c r="AC165" s="79"/>
      <c r="AD165" s="79"/>
      <c r="AE165" s="79"/>
      <c r="AF165" s="92"/>
      <c r="AG165" s="92"/>
      <c r="AH165" s="79"/>
      <c r="AI165" s="79"/>
      <c r="AJ165" s="92" t="s">
        <v>949</v>
      </c>
      <c r="AK165" s="79"/>
      <c r="AL165" s="79" t="s">
        <v>507</v>
      </c>
      <c r="AM165" s="92" t="s">
        <v>409</v>
      </c>
      <c r="AN165" s="92" t="s">
        <v>950</v>
      </c>
      <c r="AO165" s="92" t="s">
        <v>890</v>
      </c>
      <c r="AP165" s="92"/>
      <c r="AQ165" s="92" t="s">
        <v>1852</v>
      </c>
      <c r="AR165" s="92" t="s">
        <v>1853</v>
      </c>
      <c r="AS165" s="92" t="s">
        <v>1854</v>
      </c>
      <c r="AT165" s="79"/>
      <c r="AU165" s="79"/>
      <c r="AV165" s="92" t="str">
        <f>VLOOKUP(I165, Kiegészítő_Mátrix!C:E, 3, FALSE)</f>
        <v>Joyce ONE FullFace kiegészítők</v>
      </c>
    </row>
    <row r="166" spans="1:48" ht="30" customHeight="1" x14ac:dyDescent="0.3">
      <c r="A166" s="79"/>
      <c r="B166" s="79" t="s">
        <v>368</v>
      </c>
      <c r="C166" s="79" t="s">
        <v>163</v>
      </c>
      <c r="D166" s="80" t="s">
        <v>185</v>
      </c>
      <c r="E166" s="81" t="s">
        <v>370</v>
      </c>
      <c r="F166" s="80" t="s">
        <v>373</v>
      </c>
      <c r="G166" s="81" t="s">
        <v>374</v>
      </c>
      <c r="H166" s="81" t="s">
        <v>798</v>
      </c>
      <c r="I166" s="80" t="s">
        <v>218</v>
      </c>
      <c r="J166" s="79" t="s">
        <v>219</v>
      </c>
      <c r="K166" s="79" t="s">
        <v>2158</v>
      </c>
      <c r="L166" s="84" t="s">
        <v>4</v>
      </c>
      <c r="M166" s="85">
        <v>24765</v>
      </c>
      <c r="N166" s="86" t="s">
        <v>17</v>
      </c>
      <c r="O166" s="87">
        <v>45200</v>
      </c>
      <c r="P166" s="91" t="s">
        <v>597</v>
      </c>
      <c r="Q166" s="84" t="s">
        <v>17</v>
      </c>
      <c r="R166" s="89" t="s">
        <v>954</v>
      </c>
      <c r="S166" s="90" t="s">
        <v>955</v>
      </c>
      <c r="T166" s="79"/>
      <c r="U166" s="79"/>
      <c r="V166" s="79"/>
      <c r="W166" s="79"/>
      <c r="X166" s="79"/>
      <c r="Y166" s="79"/>
      <c r="Z166" s="91"/>
      <c r="AA166" s="91"/>
      <c r="AB166" s="91"/>
      <c r="AC166" s="79"/>
      <c r="AD166" s="79"/>
      <c r="AE166" s="79"/>
      <c r="AF166" s="92"/>
      <c r="AG166" s="92"/>
      <c r="AH166" s="79"/>
      <c r="AI166" s="79"/>
      <c r="AJ166" s="92" t="s">
        <v>885</v>
      </c>
      <c r="AK166" s="79"/>
      <c r="AL166" s="79" t="s">
        <v>507</v>
      </c>
      <c r="AM166" s="92" t="s">
        <v>409</v>
      </c>
      <c r="AN166" s="92" t="s">
        <v>956</v>
      </c>
      <c r="AO166" s="92" t="s">
        <v>890</v>
      </c>
      <c r="AP166" s="92"/>
      <c r="AQ166" s="92" t="s">
        <v>1855</v>
      </c>
      <c r="AR166" s="92" t="s">
        <v>1856</v>
      </c>
      <c r="AS166" s="92" t="s">
        <v>1857</v>
      </c>
      <c r="AT166" s="79"/>
      <c r="AU166" s="79"/>
      <c r="AV166" s="92" t="str">
        <f>VLOOKUP(I166, Kiegészítő_Mátrix!C:E, 3, FALSE)</f>
        <v>Lena FullFace kiegészítők</v>
      </c>
    </row>
    <row r="167" spans="1:48" ht="30" customHeight="1" x14ac:dyDescent="0.3">
      <c r="A167" s="79"/>
      <c r="B167" s="79" t="s">
        <v>368</v>
      </c>
      <c r="C167" s="79" t="s">
        <v>163</v>
      </c>
      <c r="D167" s="80" t="s">
        <v>185</v>
      </c>
      <c r="E167" s="81" t="s">
        <v>370</v>
      </c>
      <c r="F167" s="80" t="s">
        <v>373</v>
      </c>
      <c r="G167" s="81" t="s">
        <v>374</v>
      </c>
      <c r="H167" s="81" t="s">
        <v>798</v>
      </c>
      <c r="I167" s="80" t="s">
        <v>220</v>
      </c>
      <c r="J167" s="79" t="s">
        <v>221</v>
      </c>
      <c r="K167" s="79" t="s">
        <v>2158</v>
      </c>
      <c r="L167" s="84" t="s">
        <v>4</v>
      </c>
      <c r="M167" s="85">
        <v>24765</v>
      </c>
      <c r="N167" s="86" t="s">
        <v>17</v>
      </c>
      <c r="O167" s="87">
        <v>45200</v>
      </c>
      <c r="P167" s="91" t="s">
        <v>598</v>
      </c>
      <c r="Q167" s="84" t="s">
        <v>17</v>
      </c>
      <c r="R167" s="89" t="s">
        <v>954</v>
      </c>
      <c r="S167" s="90" t="s">
        <v>955</v>
      </c>
      <c r="T167" s="79"/>
      <c r="U167" s="79"/>
      <c r="V167" s="79"/>
      <c r="W167" s="79"/>
      <c r="X167" s="79"/>
      <c r="Y167" s="79"/>
      <c r="Z167" s="91"/>
      <c r="AA167" s="91"/>
      <c r="AB167" s="91"/>
      <c r="AC167" s="79"/>
      <c r="AD167" s="79"/>
      <c r="AE167" s="79"/>
      <c r="AF167" s="92"/>
      <c r="AG167" s="92"/>
      <c r="AH167" s="79"/>
      <c r="AI167" s="79"/>
      <c r="AJ167" s="92" t="s">
        <v>885</v>
      </c>
      <c r="AK167" s="79"/>
      <c r="AL167" s="79" t="s">
        <v>507</v>
      </c>
      <c r="AM167" s="92" t="s">
        <v>409</v>
      </c>
      <c r="AN167" s="92" t="s">
        <v>957</v>
      </c>
      <c r="AO167" s="92" t="s">
        <v>890</v>
      </c>
      <c r="AP167" s="92"/>
      <c r="AQ167" s="92" t="s">
        <v>1858</v>
      </c>
      <c r="AR167" s="92" t="s">
        <v>1859</v>
      </c>
      <c r="AS167" s="92" t="s">
        <v>1860</v>
      </c>
      <c r="AT167" s="79"/>
      <c r="AU167" s="79"/>
      <c r="AV167" s="92" t="str">
        <f>VLOOKUP(I167, Kiegészítő_Mátrix!C:E, 3, FALSE)</f>
        <v>Lena FullFace kiegészítők</v>
      </c>
    </row>
    <row r="168" spans="1:48" ht="30" customHeight="1" x14ac:dyDescent="0.3">
      <c r="A168" s="79"/>
      <c r="B168" s="79" t="s">
        <v>368</v>
      </c>
      <c r="C168" s="79" t="s">
        <v>163</v>
      </c>
      <c r="D168" s="80" t="s">
        <v>185</v>
      </c>
      <c r="E168" s="81" t="s">
        <v>370</v>
      </c>
      <c r="F168" s="80" t="s">
        <v>373</v>
      </c>
      <c r="G168" s="81" t="s">
        <v>374</v>
      </c>
      <c r="H168" s="81" t="s">
        <v>798</v>
      </c>
      <c r="I168" s="80" t="s">
        <v>222</v>
      </c>
      <c r="J168" s="79" t="s">
        <v>223</v>
      </c>
      <c r="K168" s="79" t="s">
        <v>2158</v>
      </c>
      <c r="L168" s="84" t="s">
        <v>4</v>
      </c>
      <c r="M168" s="85">
        <v>24765</v>
      </c>
      <c r="N168" s="86" t="s">
        <v>17</v>
      </c>
      <c r="O168" s="87">
        <v>45200</v>
      </c>
      <c r="P168" s="91" t="s">
        <v>599</v>
      </c>
      <c r="Q168" s="84" t="s">
        <v>17</v>
      </c>
      <c r="R168" s="89" t="s">
        <v>954</v>
      </c>
      <c r="S168" s="90" t="s">
        <v>955</v>
      </c>
      <c r="T168" s="79"/>
      <c r="U168" s="79"/>
      <c r="V168" s="79"/>
      <c r="W168" s="79"/>
      <c r="X168" s="79"/>
      <c r="Y168" s="79"/>
      <c r="Z168" s="91"/>
      <c r="AA168" s="91"/>
      <c r="AB168" s="91"/>
      <c r="AC168" s="79"/>
      <c r="AD168" s="79"/>
      <c r="AE168" s="79"/>
      <c r="AF168" s="92"/>
      <c r="AG168" s="92"/>
      <c r="AH168" s="79"/>
      <c r="AI168" s="79"/>
      <c r="AJ168" s="92" t="s">
        <v>885</v>
      </c>
      <c r="AK168" s="79"/>
      <c r="AL168" s="79" t="s">
        <v>507</v>
      </c>
      <c r="AM168" s="92" t="s">
        <v>409</v>
      </c>
      <c r="AN168" s="92" t="s">
        <v>958</v>
      </c>
      <c r="AO168" s="92" t="s">
        <v>890</v>
      </c>
      <c r="AP168" s="92"/>
      <c r="AQ168" s="92" t="s">
        <v>1861</v>
      </c>
      <c r="AR168" s="92" t="s">
        <v>1862</v>
      </c>
      <c r="AS168" s="92" t="s">
        <v>1863</v>
      </c>
      <c r="AT168" s="79"/>
      <c r="AU168" s="79"/>
      <c r="AV168" s="92" t="str">
        <f>VLOOKUP(I168, Kiegészítő_Mátrix!C:E, 3, FALSE)</f>
        <v>Lena FullFace kiegészítők</v>
      </c>
    </row>
    <row r="169" spans="1:48" ht="30" customHeight="1" x14ac:dyDescent="0.3">
      <c r="A169" s="79"/>
      <c r="B169" s="79" t="s">
        <v>368</v>
      </c>
      <c r="C169" s="79" t="s">
        <v>163</v>
      </c>
      <c r="D169" s="80" t="s">
        <v>185</v>
      </c>
      <c r="E169" s="81" t="s">
        <v>370</v>
      </c>
      <c r="F169" s="80" t="s">
        <v>373</v>
      </c>
      <c r="G169" s="81" t="s">
        <v>374</v>
      </c>
      <c r="H169" s="81" t="s">
        <v>799</v>
      </c>
      <c r="I169" s="123">
        <v>1090292</v>
      </c>
      <c r="J169" s="100" t="s">
        <v>236</v>
      </c>
      <c r="K169" s="100" t="s">
        <v>2158</v>
      </c>
      <c r="L169" s="159" t="s">
        <v>16</v>
      </c>
      <c r="M169" s="160">
        <v>23495</v>
      </c>
      <c r="N169" s="86" t="s">
        <v>17</v>
      </c>
      <c r="O169" s="87">
        <v>43101</v>
      </c>
      <c r="P169" s="91" t="s">
        <v>597</v>
      </c>
      <c r="Q169" s="84"/>
      <c r="R169" s="89" t="s">
        <v>959</v>
      </c>
      <c r="S169" s="90" t="s">
        <v>960</v>
      </c>
      <c r="T169" s="79"/>
      <c r="U169" s="79"/>
      <c r="V169" s="79"/>
      <c r="W169" s="79"/>
      <c r="X169" s="79"/>
      <c r="Y169" s="79"/>
      <c r="Z169" s="91"/>
      <c r="AA169" s="91"/>
      <c r="AB169" s="91"/>
      <c r="AC169" s="79"/>
      <c r="AD169" s="79"/>
      <c r="AE169" s="79"/>
      <c r="AF169" s="92"/>
      <c r="AG169" s="92"/>
      <c r="AH169" s="79"/>
      <c r="AI169" s="79"/>
      <c r="AJ169" s="92" t="s">
        <v>885</v>
      </c>
      <c r="AK169" s="79"/>
      <c r="AL169" s="79" t="s">
        <v>507</v>
      </c>
      <c r="AM169" s="92" t="s">
        <v>409</v>
      </c>
      <c r="AN169" s="92" t="s">
        <v>962</v>
      </c>
      <c r="AO169" s="92" t="s">
        <v>961</v>
      </c>
      <c r="AP169" s="92"/>
      <c r="AQ169" s="92" t="s">
        <v>1864</v>
      </c>
      <c r="AR169" s="92" t="s">
        <v>1865</v>
      </c>
      <c r="AS169" s="92" t="s">
        <v>1866</v>
      </c>
      <c r="AT169" s="79"/>
      <c r="AU169" s="79"/>
      <c r="AV169" s="92" t="str">
        <f>VLOOKUP(I169, Kiegészítő_Mátrix!C:E, 3, FALSE)</f>
        <v>Amara és Amara Gel FullFace kiegészítők</v>
      </c>
    </row>
    <row r="170" spans="1:48" ht="30" customHeight="1" x14ac:dyDescent="0.3">
      <c r="A170" s="79"/>
      <c r="B170" s="79" t="s">
        <v>368</v>
      </c>
      <c r="C170" s="79" t="s">
        <v>163</v>
      </c>
      <c r="D170" s="80" t="s">
        <v>185</v>
      </c>
      <c r="E170" s="81" t="s">
        <v>370</v>
      </c>
      <c r="F170" s="80" t="s">
        <v>373</v>
      </c>
      <c r="G170" s="81" t="s">
        <v>374</v>
      </c>
      <c r="H170" s="81" t="s">
        <v>799</v>
      </c>
      <c r="I170" s="123">
        <v>1090293</v>
      </c>
      <c r="J170" s="100" t="s">
        <v>237</v>
      </c>
      <c r="K170" s="100" t="s">
        <v>2158</v>
      </c>
      <c r="L170" s="159" t="s">
        <v>16</v>
      </c>
      <c r="M170" s="160">
        <v>23495</v>
      </c>
      <c r="N170" s="86" t="s">
        <v>17</v>
      </c>
      <c r="O170" s="87">
        <v>42614</v>
      </c>
      <c r="P170" s="91" t="s">
        <v>598</v>
      </c>
      <c r="Q170" s="84"/>
      <c r="R170" s="89" t="s">
        <v>959</v>
      </c>
      <c r="S170" s="90" t="s">
        <v>960</v>
      </c>
      <c r="T170" s="79"/>
      <c r="U170" s="79"/>
      <c r="V170" s="79"/>
      <c r="W170" s="79"/>
      <c r="X170" s="79"/>
      <c r="Y170" s="79"/>
      <c r="Z170" s="91"/>
      <c r="AA170" s="91"/>
      <c r="AB170" s="91"/>
      <c r="AC170" s="79"/>
      <c r="AD170" s="79"/>
      <c r="AE170" s="79"/>
      <c r="AF170" s="92"/>
      <c r="AG170" s="92"/>
      <c r="AH170" s="79"/>
      <c r="AI170" s="79"/>
      <c r="AJ170" s="92" t="s">
        <v>885</v>
      </c>
      <c r="AK170" s="79"/>
      <c r="AL170" s="79" t="s">
        <v>507</v>
      </c>
      <c r="AM170" s="92" t="s">
        <v>409</v>
      </c>
      <c r="AN170" s="92" t="s">
        <v>963</v>
      </c>
      <c r="AO170" s="92" t="s">
        <v>961</v>
      </c>
      <c r="AP170" s="92"/>
      <c r="AQ170" s="92" t="s">
        <v>1867</v>
      </c>
      <c r="AR170" s="92" t="s">
        <v>1868</v>
      </c>
      <c r="AS170" s="92" t="s">
        <v>1869</v>
      </c>
      <c r="AT170" s="79"/>
      <c r="AU170" s="79"/>
      <c r="AV170" s="92" t="str">
        <f>VLOOKUP(I170, Kiegészítő_Mátrix!C:E, 3, FALSE)</f>
        <v>Amara és Amara Gel FullFace kiegészítők</v>
      </c>
    </row>
    <row r="171" spans="1:48" ht="30" customHeight="1" x14ac:dyDescent="0.3">
      <c r="A171" s="79"/>
      <c r="B171" s="79" t="s">
        <v>368</v>
      </c>
      <c r="C171" s="79" t="s">
        <v>163</v>
      </c>
      <c r="D171" s="80" t="s">
        <v>185</v>
      </c>
      <c r="E171" s="81" t="s">
        <v>370</v>
      </c>
      <c r="F171" s="80" t="s">
        <v>373</v>
      </c>
      <c r="G171" s="81" t="s">
        <v>374</v>
      </c>
      <c r="H171" s="81" t="s">
        <v>799</v>
      </c>
      <c r="I171" s="123">
        <v>1090294</v>
      </c>
      <c r="J171" s="100" t="s">
        <v>238</v>
      </c>
      <c r="K171" s="100" t="s">
        <v>2158</v>
      </c>
      <c r="L171" s="159" t="s">
        <v>16</v>
      </c>
      <c r="M171" s="160">
        <v>23495</v>
      </c>
      <c r="N171" s="86" t="s">
        <v>17</v>
      </c>
      <c r="O171" s="87">
        <v>43101</v>
      </c>
      <c r="P171" s="91" t="s">
        <v>599</v>
      </c>
      <c r="Q171" s="84"/>
      <c r="R171" s="89" t="s">
        <v>959</v>
      </c>
      <c r="S171" s="90" t="s">
        <v>960</v>
      </c>
      <c r="T171" s="79"/>
      <c r="U171" s="79"/>
      <c r="V171" s="79"/>
      <c r="W171" s="79"/>
      <c r="X171" s="79"/>
      <c r="Y171" s="79"/>
      <c r="Z171" s="91"/>
      <c r="AA171" s="91"/>
      <c r="AB171" s="91"/>
      <c r="AC171" s="79"/>
      <c r="AD171" s="79"/>
      <c r="AE171" s="79"/>
      <c r="AF171" s="92"/>
      <c r="AG171" s="92"/>
      <c r="AH171" s="79"/>
      <c r="AI171" s="79"/>
      <c r="AJ171" s="92" t="s">
        <v>885</v>
      </c>
      <c r="AK171" s="79"/>
      <c r="AL171" s="79" t="s">
        <v>507</v>
      </c>
      <c r="AM171" s="92" t="s">
        <v>409</v>
      </c>
      <c r="AN171" s="92" t="s">
        <v>964</v>
      </c>
      <c r="AO171" s="92" t="s">
        <v>961</v>
      </c>
      <c r="AP171" s="92"/>
      <c r="AQ171" s="92" t="s">
        <v>1870</v>
      </c>
      <c r="AR171" s="92" t="s">
        <v>1871</v>
      </c>
      <c r="AS171" s="92" t="s">
        <v>1872</v>
      </c>
      <c r="AT171" s="79"/>
      <c r="AU171" s="79"/>
      <c r="AV171" s="92" t="str">
        <f>VLOOKUP(I171, Kiegészítő_Mátrix!C:E, 3, FALSE)</f>
        <v>Amara és Amara Gel FullFace kiegészítők</v>
      </c>
    </row>
    <row r="172" spans="1:48" ht="30" customHeight="1" x14ac:dyDescent="0.3">
      <c r="A172" s="79"/>
      <c r="B172" s="79" t="s">
        <v>368</v>
      </c>
      <c r="C172" s="79" t="s">
        <v>163</v>
      </c>
      <c r="D172" s="80" t="s">
        <v>185</v>
      </c>
      <c r="E172" s="81" t="s">
        <v>370</v>
      </c>
      <c r="F172" s="80" t="s">
        <v>373</v>
      </c>
      <c r="G172" s="81" t="s">
        <v>374</v>
      </c>
      <c r="H172" s="81" t="s">
        <v>992</v>
      </c>
      <c r="I172" s="131">
        <v>1090490</v>
      </c>
      <c r="J172" s="126" t="s">
        <v>239</v>
      </c>
      <c r="K172" s="126" t="s">
        <v>2158</v>
      </c>
      <c r="L172" s="101" t="s">
        <v>16</v>
      </c>
      <c r="M172" s="120"/>
      <c r="N172" s="86" t="s">
        <v>17</v>
      </c>
      <c r="O172" s="87"/>
      <c r="P172" s="91" t="s">
        <v>883</v>
      </c>
      <c r="Q172" s="84"/>
      <c r="R172" s="89" t="s">
        <v>965</v>
      </c>
      <c r="S172" s="90" t="s">
        <v>966</v>
      </c>
      <c r="T172" s="79"/>
      <c r="U172" s="79"/>
      <c r="V172" s="79"/>
      <c r="W172" s="79"/>
      <c r="X172" s="79"/>
      <c r="Y172" s="79"/>
      <c r="Z172" s="91"/>
      <c r="AA172" s="91"/>
      <c r="AB172" s="91"/>
      <c r="AC172" s="79"/>
      <c r="AD172" s="79"/>
      <c r="AE172" s="79"/>
      <c r="AF172" s="92"/>
      <c r="AG172" s="92"/>
      <c r="AH172" s="79"/>
      <c r="AI172" s="79"/>
      <c r="AJ172" s="92" t="s">
        <v>885</v>
      </c>
      <c r="AK172" s="79"/>
      <c r="AL172" s="79" t="s">
        <v>507</v>
      </c>
      <c r="AM172" s="92" t="s">
        <v>409</v>
      </c>
      <c r="AN172" s="92"/>
      <c r="AO172" s="92"/>
      <c r="AP172" s="92"/>
      <c r="AQ172" s="92" t="s">
        <v>1873</v>
      </c>
      <c r="AR172" s="92" t="s">
        <v>1874</v>
      </c>
      <c r="AS172" s="92" t="s">
        <v>1875</v>
      </c>
      <c r="AT172" s="79"/>
      <c r="AU172" s="79"/>
      <c r="AV172" s="92" t="e">
        <f>VLOOKUP(I172, Kiegészítő_Mátrix!C:E, 3, FALSE)</f>
        <v>#N/A</v>
      </c>
    </row>
    <row r="173" spans="1:48" ht="30" customHeight="1" x14ac:dyDescent="0.3">
      <c r="A173" s="79"/>
      <c r="B173" s="79" t="s">
        <v>368</v>
      </c>
      <c r="C173" s="79" t="s">
        <v>163</v>
      </c>
      <c r="D173" s="80" t="s">
        <v>185</v>
      </c>
      <c r="E173" s="81" t="s">
        <v>370</v>
      </c>
      <c r="F173" s="80" t="s">
        <v>373</v>
      </c>
      <c r="G173" s="81" t="s">
        <v>374</v>
      </c>
      <c r="H173" s="81" t="s">
        <v>992</v>
      </c>
      <c r="I173" s="131">
        <v>1090492</v>
      </c>
      <c r="J173" s="126" t="s">
        <v>240</v>
      </c>
      <c r="K173" s="126" t="s">
        <v>2158</v>
      </c>
      <c r="L173" s="101" t="s">
        <v>16</v>
      </c>
      <c r="M173" s="120"/>
      <c r="N173" s="86" t="s">
        <v>17</v>
      </c>
      <c r="O173" s="87">
        <v>43101</v>
      </c>
      <c r="P173" s="91" t="s">
        <v>597</v>
      </c>
      <c r="Q173" s="84"/>
      <c r="R173" s="89" t="s">
        <v>965</v>
      </c>
      <c r="S173" s="90" t="s">
        <v>966</v>
      </c>
      <c r="T173" s="79"/>
      <c r="U173" s="79"/>
      <c r="V173" s="79"/>
      <c r="W173" s="79"/>
      <c r="X173" s="79"/>
      <c r="Y173" s="79"/>
      <c r="Z173" s="91"/>
      <c r="AA173" s="91"/>
      <c r="AB173" s="91"/>
      <c r="AC173" s="79"/>
      <c r="AD173" s="79"/>
      <c r="AE173" s="79"/>
      <c r="AF173" s="92"/>
      <c r="AG173" s="92"/>
      <c r="AH173" s="79"/>
      <c r="AI173" s="79"/>
      <c r="AJ173" s="92" t="s">
        <v>885</v>
      </c>
      <c r="AK173" s="79"/>
      <c r="AL173" s="79" t="s">
        <v>507</v>
      </c>
      <c r="AM173" s="92" t="s">
        <v>409</v>
      </c>
      <c r="AN173" s="92" t="s">
        <v>967</v>
      </c>
      <c r="AO173" s="92" t="s">
        <v>970</v>
      </c>
      <c r="AP173" s="92"/>
      <c r="AQ173" s="92" t="s">
        <v>1876</v>
      </c>
      <c r="AR173" s="92" t="s">
        <v>1877</v>
      </c>
      <c r="AS173" s="92" t="s">
        <v>1878</v>
      </c>
      <c r="AT173" s="79"/>
      <c r="AU173" s="79"/>
      <c r="AV173" s="92" t="str">
        <f>VLOOKUP(I173, Kiegészítő_Mátrix!C:E, 3, FALSE)</f>
        <v>Amara és Amara Gel FullFace kiegészítők</v>
      </c>
    </row>
    <row r="174" spans="1:48" ht="30" customHeight="1" x14ac:dyDescent="0.3">
      <c r="A174" s="79"/>
      <c r="B174" s="79" t="s">
        <v>368</v>
      </c>
      <c r="C174" s="79" t="s">
        <v>163</v>
      </c>
      <c r="D174" s="80" t="s">
        <v>185</v>
      </c>
      <c r="E174" s="81" t="s">
        <v>370</v>
      </c>
      <c r="F174" s="80" t="s">
        <v>373</v>
      </c>
      <c r="G174" s="81" t="s">
        <v>374</v>
      </c>
      <c r="H174" s="81" t="s">
        <v>992</v>
      </c>
      <c r="I174" s="131">
        <v>1090493</v>
      </c>
      <c r="J174" s="126" t="s">
        <v>241</v>
      </c>
      <c r="K174" s="126" t="s">
        <v>2158</v>
      </c>
      <c r="L174" s="101" t="s">
        <v>16</v>
      </c>
      <c r="M174" s="120"/>
      <c r="N174" s="86" t="s">
        <v>17</v>
      </c>
      <c r="O174" s="87">
        <v>43831</v>
      </c>
      <c r="P174" s="91" t="s">
        <v>598</v>
      </c>
      <c r="Q174" s="84"/>
      <c r="R174" s="89" t="s">
        <v>965</v>
      </c>
      <c r="S174" s="90" t="s">
        <v>966</v>
      </c>
      <c r="T174" s="79"/>
      <c r="U174" s="79"/>
      <c r="V174" s="79"/>
      <c r="W174" s="79"/>
      <c r="X174" s="79"/>
      <c r="Y174" s="79"/>
      <c r="Z174" s="91"/>
      <c r="AA174" s="91"/>
      <c r="AB174" s="91"/>
      <c r="AC174" s="79"/>
      <c r="AD174" s="79"/>
      <c r="AE174" s="79"/>
      <c r="AF174" s="92"/>
      <c r="AG174" s="92"/>
      <c r="AH174" s="79"/>
      <c r="AI174" s="79"/>
      <c r="AJ174" s="92" t="s">
        <v>885</v>
      </c>
      <c r="AK174" s="79"/>
      <c r="AL174" s="79" t="s">
        <v>507</v>
      </c>
      <c r="AM174" s="92" t="s">
        <v>409</v>
      </c>
      <c r="AN174" s="92" t="s">
        <v>968</v>
      </c>
      <c r="AO174" s="92" t="s">
        <v>970</v>
      </c>
      <c r="AP174" s="92"/>
      <c r="AQ174" s="92" t="s">
        <v>1879</v>
      </c>
      <c r="AR174" s="92" t="s">
        <v>1880</v>
      </c>
      <c r="AS174" s="92" t="s">
        <v>1881</v>
      </c>
      <c r="AT174" s="79"/>
      <c r="AU174" s="79"/>
      <c r="AV174" s="92" t="str">
        <f>VLOOKUP(I174, Kiegészítő_Mátrix!C:E, 3, FALSE)</f>
        <v>Amara és Amara Gel FullFace kiegészítők</v>
      </c>
    </row>
    <row r="175" spans="1:48" ht="30" customHeight="1" x14ac:dyDescent="0.3">
      <c r="A175" s="79"/>
      <c r="B175" s="79" t="s">
        <v>368</v>
      </c>
      <c r="C175" s="79" t="s">
        <v>163</v>
      </c>
      <c r="D175" s="80" t="s">
        <v>185</v>
      </c>
      <c r="E175" s="81" t="s">
        <v>370</v>
      </c>
      <c r="F175" s="80" t="s">
        <v>373</v>
      </c>
      <c r="G175" s="81" t="s">
        <v>374</v>
      </c>
      <c r="H175" s="81" t="s">
        <v>992</v>
      </c>
      <c r="I175" s="131">
        <v>1090494</v>
      </c>
      <c r="J175" s="126" t="s">
        <v>242</v>
      </c>
      <c r="K175" s="126" t="s">
        <v>2158</v>
      </c>
      <c r="L175" s="101" t="s">
        <v>16</v>
      </c>
      <c r="M175" s="120">
        <v>28575</v>
      </c>
      <c r="N175" s="86" t="s">
        <v>17</v>
      </c>
      <c r="O175" s="87">
        <v>43831</v>
      </c>
      <c r="P175" s="91" t="s">
        <v>599</v>
      </c>
      <c r="Q175" s="84"/>
      <c r="R175" s="89" t="s">
        <v>965</v>
      </c>
      <c r="S175" s="90" t="s">
        <v>966</v>
      </c>
      <c r="T175" s="79"/>
      <c r="U175" s="79"/>
      <c r="V175" s="79"/>
      <c r="W175" s="79"/>
      <c r="X175" s="79"/>
      <c r="Y175" s="79"/>
      <c r="Z175" s="91"/>
      <c r="AA175" s="91"/>
      <c r="AB175" s="91"/>
      <c r="AC175" s="79"/>
      <c r="AD175" s="79"/>
      <c r="AE175" s="79"/>
      <c r="AF175" s="92"/>
      <c r="AG175" s="92"/>
      <c r="AH175" s="79"/>
      <c r="AI175" s="79"/>
      <c r="AJ175" s="92" t="s">
        <v>885</v>
      </c>
      <c r="AK175" s="79"/>
      <c r="AL175" s="79" t="s">
        <v>507</v>
      </c>
      <c r="AM175" s="92" t="s">
        <v>409</v>
      </c>
      <c r="AN175" s="92" t="s">
        <v>969</v>
      </c>
      <c r="AO175" s="92" t="s">
        <v>970</v>
      </c>
      <c r="AP175" s="92"/>
      <c r="AQ175" s="92" t="s">
        <v>1882</v>
      </c>
      <c r="AR175" s="92" t="s">
        <v>1883</v>
      </c>
      <c r="AS175" s="92" t="s">
        <v>1884</v>
      </c>
      <c r="AT175" s="79"/>
      <c r="AU175" s="79"/>
      <c r="AV175" s="92" t="str">
        <f>VLOOKUP(I175, Kiegészítő_Mátrix!C:E, 3, FALSE)</f>
        <v>Amara és Amara Gel FullFace kiegészítők</v>
      </c>
    </row>
    <row r="176" spans="1:48" ht="30" customHeight="1" x14ac:dyDescent="0.3">
      <c r="A176" s="79"/>
      <c r="B176" s="79" t="s">
        <v>368</v>
      </c>
      <c r="C176" s="79" t="s">
        <v>163</v>
      </c>
      <c r="D176" s="80" t="s">
        <v>185</v>
      </c>
      <c r="E176" s="81" t="s">
        <v>370</v>
      </c>
      <c r="F176" s="80" t="s">
        <v>373</v>
      </c>
      <c r="G176" s="81" t="s">
        <v>374</v>
      </c>
      <c r="H176" s="81" t="s">
        <v>993</v>
      </c>
      <c r="I176" s="80">
        <v>1090692</v>
      </c>
      <c r="J176" s="79" t="s">
        <v>243</v>
      </c>
      <c r="K176" s="79" t="s">
        <v>2158</v>
      </c>
      <c r="L176" s="84" t="s">
        <v>16</v>
      </c>
      <c r="M176" s="85">
        <v>23495</v>
      </c>
      <c r="N176" s="95" t="s">
        <v>17</v>
      </c>
      <c r="O176" s="96">
        <v>43040</v>
      </c>
      <c r="P176" s="88" t="s">
        <v>597</v>
      </c>
      <c r="Q176" s="84" t="s">
        <v>5</v>
      </c>
      <c r="R176" s="89" t="s">
        <v>971</v>
      </c>
      <c r="S176" s="90" t="s">
        <v>972</v>
      </c>
      <c r="T176" s="79"/>
      <c r="U176" s="79"/>
      <c r="V176" s="79"/>
      <c r="W176" s="79"/>
      <c r="X176" s="79"/>
      <c r="Y176" s="79"/>
      <c r="Z176" s="91"/>
      <c r="AA176" s="91"/>
      <c r="AB176" s="91"/>
      <c r="AC176" s="79"/>
      <c r="AD176" s="79"/>
      <c r="AE176" s="79"/>
      <c r="AF176" s="92"/>
      <c r="AG176" s="92"/>
      <c r="AH176" s="79"/>
      <c r="AI176" s="79"/>
      <c r="AJ176" s="92" t="s">
        <v>885</v>
      </c>
      <c r="AK176" s="79"/>
      <c r="AL176" s="79" t="s">
        <v>507</v>
      </c>
      <c r="AM176" s="92" t="s">
        <v>409</v>
      </c>
      <c r="AN176" s="92" t="s">
        <v>973</v>
      </c>
      <c r="AO176" s="92" t="s">
        <v>890</v>
      </c>
      <c r="AP176" s="92"/>
      <c r="AQ176" s="92" t="s">
        <v>1885</v>
      </c>
      <c r="AR176" s="92" t="s">
        <v>1886</v>
      </c>
      <c r="AS176" s="92" t="s">
        <v>1887</v>
      </c>
      <c r="AT176" s="79"/>
      <c r="AU176" s="79"/>
      <c r="AV176" s="92" t="str">
        <f>VLOOKUP(I176, Kiegészítő_Mátrix!C:E, 3, FALSE)</f>
        <v>Amara View kiegészítők</v>
      </c>
    </row>
    <row r="177" spans="1:48" ht="30" customHeight="1" x14ac:dyDescent="0.3">
      <c r="A177" s="79"/>
      <c r="B177" s="79" t="s">
        <v>368</v>
      </c>
      <c r="C177" s="79" t="s">
        <v>163</v>
      </c>
      <c r="D177" s="80" t="s">
        <v>185</v>
      </c>
      <c r="E177" s="81" t="s">
        <v>370</v>
      </c>
      <c r="F177" s="80" t="s">
        <v>373</v>
      </c>
      <c r="G177" s="81" t="s">
        <v>374</v>
      </c>
      <c r="H177" s="81" t="s">
        <v>993</v>
      </c>
      <c r="I177" s="80">
        <v>1090693</v>
      </c>
      <c r="J177" s="79" t="s">
        <v>244</v>
      </c>
      <c r="K177" s="79" t="s">
        <v>2158</v>
      </c>
      <c r="L177" s="84" t="s">
        <v>16</v>
      </c>
      <c r="M177" s="85">
        <v>23495</v>
      </c>
      <c r="N177" s="95" t="s">
        <v>17</v>
      </c>
      <c r="O177" s="96">
        <v>43040</v>
      </c>
      <c r="P177" s="88" t="s">
        <v>598</v>
      </c>
      <c r="Q177" s="84" t="s">
        <v>5</v>
      </c>
      <c r="R177" s="89" t="s">
        <v>971</v>
      </c>
      <c r="S177" s="90" t="s">
        <v>972</v>
      </c>
      <c r="T177" s="79"/>
      <c r="U177" s="79"/>
      <c r="V177" s="79"/>
      <c r="W177" s="79"/>
      <c r="X177" s="79"/>
      <c r="Y177" s="79"/>
      <c r="Z177" s="91"/>
      <c r="AA177" s="91"/>
      <c r="AB177" s="91"/>
      <c r="AC177" s="79"/>
      <c r="AD177" s="79"/>
      <c r="AE177" s="79"/>
      <c r="AF177" s="92"/>
      <c r="AG177" s="92"/>
      <c r="AH177" s="79"/>
      <c r="AI177" s="79"/>
      <c r="AJ177" s="92" t="s">
        <v>885</v>
      </c>
      <c r="AK177" s="79"/>
      <c r="AL177" s="79" t="s">
        <v>507</v>
      </c>
      <c r="AM177" s="92" t="s">
        <v>409</v>
      </c>
      <c r="AN177" s="92" t="s">
        <v>974</v>
      </c>
      <c r="AO177" s="92" t="s">
        <v>890</v>
      </c>
      <c r="AP177" s="92"/>
      <c r="AQ177" s="92" t="s">
        <v>1888</v>
      </c>
      <c r="AR177" s="92" t="s">
        <v>1889</v>
      </c>
      <c r="AS177" s="92" t="s">
        <v>1890</v>
      </c>
      <c r="AT177" s="79"/>
      <c r="AU177" s="79"/>
      <c r="AV177" s="92" t="str">
        <f>VLOOKUP(I177, Kiegészítő_Mátrix!C:E, 3, FALSE)</f>
        <v>Amara View kiegészítők</v>
      </c>
    </row>
    <row r="178" spans="1:48" ht="30" customHeight="1" x14ac:dyDescent="0.3">
      <c r="A178" s="79"/>
      <c r="B178" s="79" t="s">
        <v>368</v>
      </c>
      <c r="C178" s="79" t="s">
        <v>163</v>
      </c>
      <c r="D178" s="80" t="s">
        <v>185</v>
      </c>
      <c r="E178" s="81" t="s">
        <v>370</v>
      </c>
      <c r="F178" s="80" t="s">
        <v>373</v>
      </c>
      <c r="G178" s="81" t="s">
        <v>374</v>
      </c>
      <c r="H178" s="81" t="s">
        <v>993</v>
      </c>
      <c r="I178" s="80">
        <v>1090694</v>
      </c>
      <c r="J178" s="79" t="s">
        <v>245</v>
      </c>
      <c r="K178" s="79" t="s">
        <v>2158</v>
      </c>
      <c r="L178" s="84" t="s">
        <v>16</v>
      </c>
      <c r="M178" s="85">
        <v>23495</v>
      </c>
      <c r="N178" s="95" t="s">
        <v>17</v>
      </c>
      <c r="O178" s="96">
        <v>43040</v>
      </c>
      <c r="P178" s="88" t="s">
        <v>599</v>
      </c>
      <c r="Q178" s="84" t="s">
        <v>5</v>
      </c>
      <c r="R178" s="89" t="s">
        <v>971</v>
      </c>
      <c r="S178" s="90" t="s">
        <v>972</v>
      </c>
      <c r="T178" s="79"/>
      <c r="U178" s="79"/>
      <c r="V178" s="79"/>
      <c r="W178" s="79"/>
      <c r="X178" s="79"/>
      <c r="Y178" s="79"/>
      <c r="Z178" s="91"/>
      <c r="AA178" s="91"/>
      <c r="AB178" s="91"/>
      <c r="AC178" s="79"/>
      <c r="AD178" s="79"/>
      <c r="AE178" s="79"/>
      <c r="AF178" s="92"/>
      <c r="AG178" s="92"/>
      <c r="AH178" s="79"/>
      <c r="AI178" s="79"/>
      <c r="AJ178" s="92" t="s">
        <v>885</v>
      </c>
      <c r="AK178" s="79"/>
      <c r="AL178" s="79" t="s">
        <v>507</v>
      </c>
      <c r="AM178" s="92" t="s">
        <v>409</v>
      </c>
      <c r="AN178" s="92" t="s">
        <v>975</v>
      </c>
      <c r="AO178" s="92" t="s">
        <v>890</v>
      </c>
      <c r="AP178" s="92"/>
      <c r="AQ178" s="92" t="s">
        <v>1891</v>
      </c>
      <c r="AR178" s="92" t="s">
        <v>1892</v>
      </c>
      <c r="AS178" s="92" t="s">
        <v>1893</v>
      </c>
      <c r="AT178" s="79"/>
      <c r="AU178" s="79"/>
      <c r="AV178" s="92" t="str">
        <f>VLOOKUP(I178, Kiegészítő_Mátrix!C:E, 3, FALSE)</f>
        <v>Amara View kiegészítők</v>
      </c>
    </row>
    <row r="179" spans="1:48" ht="30" customHeight="1" x14ac:dyDescent="0.3">
      <c r="A179" s="79"/>
      <c r="B179" s="79" t="s">
        <v>368</v>
      </c>
      <c r="C179" s="79" t="s">
        <v>163</v>
      </c>
      <c r="D179" s="80" t="s">
        <v>185</v>
      </c>
      <c r="E179" s="81" t="s">
        <v>370</v>
      </c>
      <c r="F179" s="80" t="s">
        <v>373</v>
      </c>
      <c r="G179" s="81" t="s">
        <v>374</v>
      </c>
      <c r="H179" s="81" t="s">
        <v>994</v>
      </c>
      <c r="I179" s="123">
        <v>1133430</v>
      </c>
      <c r="J179" s="100" t="s">
        <v>246</v>
      </c>
      <c r="K179" s="100" t="s">
        <v>2158</v>
      </c>
      <c r="L179" s="95" t="s">
        <v>16</v>
      </c>
      <c r="M179" s="120">
        <v>23470</v>
      </c>
      <c r="N179" s="95" t="s">
        <v>17</v>
      </c>
      <c r="O179" s="96">
        <v>45992</v>
      </c>
      <c r="P179" s="91" t="s">
        <v>597</v>
      </c>
      <c r="Q179" s="84" t="s">
        <v>5</v>
      </c>
      <c r="R179" s="89" t="s">
        <v>976</v>
      </c>
      <c r="S179" s="90" t="s">
        <v>977</v>
      </c>
      <c r="T179" s="79"/>
      <c r="U179" s="79"/>
      <c r="V179" s="79"/>
      <c r="W179" s="79"/>
      <c r="X179" s="79"/>
      <c r="Y179" s="79"/>
      <c r="Z179" s="91"/>
      <c r="AA179" s="91"/>
      <c r="AB179" s="91"/>
      <c r="AC179" s="79"/>
      <c r="AD179" s="79"/>
      <c r="AE179" s="79"/>
      <c r="AF179" s="92"/>
      <c r="AG179" s="92"/>
      <c r="AH179" s="79"/>
      <c r="AI179" s="79"/>
      <c r="AJ179" s="92" t="s">
        <v>885</v>
      </c>
      <c r="AK179" s="79"/>
      <c r="AL179" s="79" t="s">
        <v>507</v>
      </c>
      <c r="AM179" s="92" t="s">
        <v>409</v>
      </c>
      <c r="AN179" s="92" t="s">
        <v>978</v>
      </c>
      <c r="AO179" s="92" t="s">
        <v>890</v>
      </c>
      <c r="AP179" s="92"/>
      <c r="AQ179" s="92" t="s">
        <v>1894</v>
      </c>
      <c r="AR179" s="92" t="s">
        <v>1895</v>
      </c>
      <c r="AS179" s="92" t="s">
        <v>1896</v>
      </c>
      <c r="AT179" s="79"/>
      <c r="AU179" s="79"/>
      <c r="AV179" s="92" t="str">
        <f>VLOOKUP(I179, Kiegészítő_Mátrix!C:E, 3, FALSE)</f>
        <v>DreamWear FullFace kiegészítők</v>
      </c>
    </row>
    <row r="180" spans="1:48" ht="30" customHeight="1" x14ac:dyDescent="0.3">
      <c r="A180" s="79"/>
      <c r="B180" s="79" t="s">
        <v>368</v>
      </c>
      <c r="C180" s="79" t="s">
        <v>163</v>
      </c>
      <c r="D180" s="80" t="s">
        <v>185</v>
      </c>
      <c r="E180" s="81" t="s">
        <v>370</v>
      </c>
      <c r="F180" s="80" t="s">
        <v>373</v>
      </c>
      <c r="G180" s="81" t="s">
        <v>374</v>
      </c>
      <c r="H180" s="81" t="s">
        <v>994</v>
      </c>
      <c r="I180" s="123">
        <v>1133431</v>
      </c>
      <c r="J180" s="100" t="s">
        <v>247</v>
      </c>
      <c r="K180" s="100" t="s">
        <v>2158</v>
      </c>
      <c r="L180" s="95" t="s">
        <v>16</v>
      </c>
      <c r="M180" s="120">
        <v>29845</v>
      </c>
      <c r="N180" s="95" t="s">
        <v>17</v>
      </c>
      <c r="O180" s="96">
        <v>44440</v>
      </c>
      <c r="P180" s="91" t="s">
        <v>598</v>
      </c>
      <c r="Q180" s="84" t="s">
        <v>5</v>
      </c>
      <c r="R180" s="89" t="s">
        <v>976</v>
      </c>
      <c r="S180" s="90" t="s">
        <v>977</v>
      </c>
      <c r="T180" s="79"/>
      <c r="U180" s="79"/>
      <c r="V180" s="79"/>
      <c r="W180" s="79"/>
      <c r="X180" s="79"/>
      <c r="Y180" s="79"/>
      <c r="Z180" s="91"/>
      <c r="AA180" s="91"/>
      <c r="AB180" s="91"/>
      <c r="AC180" s="79"/>
      <c r="AD180" s="79"/>
      <c r="AE180" s="79"/>
      <c r="AF180" s="92"/>
      <c r="AG180" s="92"/>
      <c r="AH180" s="79"/>
      <c r="AI180" s="79"/>
      <c r="AJ180" s="92" t="s">
        <v>885</v>
      </c>
      <c r="AK180" s="79"/>
      <c r="AL180" s="79" t="s">
        <v>507</v>
      </c>
      <c r="AM180" s="92" t="s">
        <v>409</v>
      </c>
      <c r="AN180" s="92" t="s">
        <v>979</v>
      </c>
      <c r="AO180" s="92" t="s">
        <v>890</v>
      </c>
      <c r="AP180" s="92"/>
      <c r="AQ180" s="92" t="s">
        <v>1897</v>
      </c>
      <c r="AR180" s="92" t="s">
        <v>1898</v>
      </c>
      <c r="AS180" s="92" t="s">
        <v>1899</v>
      </c>
      <c r="AT180" s="79"/>
      <c r="AU180" s="79"/>
      <c r="AV180" s="92" t="str">
        <f>VLOOKUP(I180, Kiegészítő_Mátrix!C:E, 3, FALSE)</f>
        <v>DreamWear FullFace kiegészítők</v>
      </c>
    </row>
    <row r="181" spans="1:48" ht="30" customHeight="1" x14ac:dyDescent="0.3">
      <c r="A181" s="79"/>
      <c r="B181" s="79" t="s">
        <v>368</v>
      </c>
      <c r="C181" s="79" t="s">
        <v>163</v>
      </c>
      <c r="D181" s="80" t="s">
        <v>185</v>
      </c>
      <c r="E181" s="81" t="s">
        <v>370</v>
      </c>
      <c r="F181" s="80" t="s">
        <v>373</v>
      </c>
      <c r="G181" s="81" t="s">
        <v>374</v>
      </c>
      <c r="H181" s="81" t="s">
        <v>994</v>
      </c>
      <c r="I181" s="123">
        <v>1133432</v>
      </c>
      <c r="J181" s="100" t="s">
        <v>248</v>
      </c>
      <c r="K181" s="100" t="s">
        <v>2158</v>
      </c>
      <c r="L181" s="95" t="s">
        <v>16</v>
      </c>
      <c r="M181" s="120">
        <v>29845</v>
      </c>
      <c r="N181" s="95" t="s">
        <v>17</v>
      </c>
      <c r="O181" s="96">
        <v>44927</v>
      </c>
      <c r="P181" s="91" t="s">
        <v>599</v>
      </c>
      <c r="Q181" s="84" t="s">
        <v>5</v>
      </c>
      <c r="R181" s="89" t="s">
        <v>976</v>
      </c>
      <c r="S181" s="90" t="s">
        <v>977</v>
      </c>
      <c r="T181" s="79"/>
      <c r="U181" s="79"/>
      <c r="V181" s="79"/>
      <c r="W181" s="79"/>
      <c r="X181" s="79"/>
      <c r="Y181" s="79"/>
      <c r="Z181" s="91"/>
      <c r="AA181" s="91"/>
      <c r="AB181" s="91"/>
      <c r="AC181" s="79"/>
      <c r="AD181" s="79"/>
      <c r="AE181" s="79"/>
      <c r="AF181" s="92"/>
      <c r="AG181" s="92"/>
      <c r="AH181" s="79"/>
      <c r="AI181" s="79"/>
      <c r="AJ181" s="92" t="s">
        <v>885</v>
      </c>
      <c r="AK181" s="79"/>
      <c r="AL181" s="79" t="s">
        <v>507</v>
      </c>
      <c r="AM181" s="92" t="s">
        <v>409</v>
      </c>
      <c r="AN181" s="92" t="s">
        <v>980</v>
      </c>
      <c r="AO181" s="92" t="s">
        <v>890</v>
      </c>
      <c r="AP181" s="92"/>
      <c r="AQ181" s="92" t="s">
        <v>1900</v>
      </c>
      <c r="AR181" s="92" t="s">
        <v>1901</v>
      </c>
      <c r="AS181" s="92" t="s">
        <v>1902</v>
      </c>
      <c r="AT181" s="79"/>
      <c r="AU181" s="79"/>
      <c r="AV181" s="92" t="str">
        <f>VLOOKUP(I181, Kiegészítő_Mátrix!C:E, 3, FALSE)</f>
        <v>DreamWear FullFace kiegészítők</v>
      </c>
    </row>
    <row r="182" spans="1:48" ht="30" customHeight="1" x14ac:dyDescent="0.3">
      <c r="A182" s="79"/>
      <c r="B182" s="79" t="s">
        <v>368</v>
      </c>
      <c r="C182" s="79" t="s">
        <v>163</v>
      </c>
      <c r="D182" s="80" t="s">
        <v>185</v>
      </c>
      <c r="E182" s="81" t="s">
        <v>370</v>
      </c>
      <c r="F182" s="80" t="s">
        <v>373</v>
      </c>
      <c r="G182" s="81" t="s">
        <v>374</v>
      </c>
      <c r="H182" s="81" t="s">
        <v>994</v>
      </c>
      <c r="I182" s="123">
        <v>1133433</v>
      </c>
      <c r="J182" s="100" t="s">
        <v>249</v>
      </c>
      <c r="K182" s="100" t="s">
        <v>2158</v>
      </c>
      <c r="L182" s="95" t="s">
        <v>16</v>
      </c>
      <c r="M182" s="120">
        <v>29845</v>
      </c>
      <c r="N182" s="95" t="s">
        <v>17</v>
      </c>
      <c r="O182" s="96">
        <v>45931</v>
      </c>
      <c r="P182" s="91" t="s">
        <v>771</v>
      </c>
      <c r="Q182" s="84" t="s">
        <v>5</v>
      </c>
      <c r="R182" s="89" t="s">
        <v>976</v>
      </c>
      <c r="S182" s="90" t="s">
        <v>977</v>
      </c>
      <c r="T182" s="79"/>
      <c r="U182" s="79"/>
      <c r="V182" s="79"/>
      <c r="W182" s="79"/>
      <c r="X182" s="79"/>
      <c r="Y182" s="79"/>
      <c r="Z182" s="91"/>
      <c r="AA182" s="91"/>
      <c r="AB182" s="91"/>
      <c r="AC182" s="79"/>
      <c r="AD182" s="79"/>
      <c r="AE182" s="79"/>
      <c r="AF182" s="92"/>
      <c r="AG182" s="92"/>
      <c r="AH182" s="79"/>
      <c r="AI182" s="79"/>
      <c r="AJ182" s="92" t="s">
        <v>885</v>
      </c>
      <c r="AK182" s="79"/>
      <c r="AL182" s="79" t="s">
        <v>507</v>
      </c>
      <c r="AM182" s="92" t="s">
        <v>409</v>
      </c>
      <c r="AN182" s="92" t="s">
        <v>981</v>
      </c>
      <c r="AO182" s="92" t="s">
        <v>890</v>
      </c>
      <c r="AP182" s="92"/>
      <c r="AQ182" s="92" t="s">
        <v>1903</v>
      </c>
      <c r="AR182" s="92" t="s">
        <v>1904</v>
      </c>
      <c r="AS182" s="92" t="s">
        <v>1905</v>
      </c>
      <c r="AT182" s="79"/>
      <c r="AU182" s="79"/>
      <c r="AV182" s="92" t="str">
        <f>VLOOKUP(I182, Kiegészítő_Mátrix!C:E, 3, FALSE)</f>
        <v>DreamWear FullFace kiegészítők</v>
      </c>
    </row>
    <row r="183" spans="1:48" ht="57" customHeight="1" x14ac:dyDescent="0.3">
      <c r="A183" s="79"/>
      <c r="B183" s="79" t="s">
        <v>368</v>
      </c>
      <c r="C183" s="79" t="s">
        <v>163</v>
      </c>
      <c r="D183" s="80" t="s">
        <v>185</v>
      </c>
      <c r="E183" s="81" t="s">
        <v>370</v>
      </c>
      <c r="F183" s="80" t="s">
        <v>985</v>
      </c>
      <c r="G183" s="81" t="s">
        <v>986</v>
      </c>
      <c r="H183" s="81" t="s">
        <v>987</v>
      </c>
      <c r="I183" s="80" t="s">
        <v>200</v>
      </c>
      <c r="J183" s="79" t="s">
        <v>984</v>
      </c>
      <c r="K183" s="79" t="s">
        <v>2158</v>
      </c>
      <c r="L183" s="84" t="s">
        <v>4</v>
      </c>
      <c r="M183" s="85">
        <v>3600</v>
      </c>
      <c r="N183" s="95" t="s">
        <v>17</v>
      </c>
      <c r="O183" s="96">
        <v>42370</v>
      </c>
      <c r="P183" s="88" t="s">
        <v>941</v>
      </c>
      <c r="Q183" s="84" t="s">
        <v>5</v>
      </c>
      <c r="R183" s="89" t="s">
        <v>982</v>
      </c>
      <c r="S183" s="90" t="s">
        <v>983</v>
      </c>
      <c r="T183" s="79"/>
      <c r="U183" s="79"/>
      <c r="V183" s="79"/>
      <c r="W183" s="79"/>
      <c r="X183" s="79"/>
      <c r="Y183" s="79"/>
      <c r="Z183" s="91"/>
      <c r="AA183" s="91"/>
      <c r="AB183" s="91"/>
      <c r="AC183" s="79"/>
      <c r="AD183" s="79"/>
      <c r="AE183" s="79"/>
      <c r="AF183" s="92"/>
      <c r="AG183" s="92"/>
      <c r="AH183" s="79"/>
      <c r="AI183" s="79"/>
      <c r="AJ183" s="92"/>
      <c r="AK183" s="79"/>
      <c r="AL183" s="79"/>
      <c r="AM183" s="92"/>
      <c r="AN183" s="92"/>
      <c r="AO183" s="92"/>
      <c r="AP183" s="92"/>
      <c r="AQ183" s="92" t="s">
        <v>1906</v>
      </c>
      <c r="AR183" s="92" t="s">
        <v>1907</v>
      </c>
      <c r="AS183" s="92" t="s">
        <v>1908</v>
      </c>
      <c r="AT183" s="79"/>
      <c r="AU183" s="79"/>
      <c r="AV183" s="92" t="str">
        <f>VLOOKUP(I183, Kiegészítő_Mátrix!C:E, 3, FALSE)</f>
        <v>Joyce Easy kiegészítők</v>
      </c>
    </row>
    <row r="184" spans="1:48" ht="14.4" customHeight="1" x14ac:dyDescent="0.3">
      <c r="A184" s="79"/>
      <c r="B184" s="79"/>
      <c r="C184" s="79"/>
      <c r="D184" s="98"/>
      <c r="E184" s="83"/>
      <c r="F184" s="98"/>
      <c r="G184" s="98"/>
      <c r="H184" s="81"/>
      <c r="I184" s="82"/>
      <c r="J184" s="79"/>
      <c r="K184" s="79"/>
      <c r="L184" s="84"/>
      <c r="M184" s="85"/>
      <c r="N184" s="95"/>
      <c r="O184" s="96"/>
      <c r="P184" s="88"/>
      <c r="Q184" s="84"/>
      <c r="R184" s="89"/>
      <c r="S184" s="90"/>
      <c r="T184" s="79"/>
      <c r="U184" s="79"/>
      <c r="V184" s="79"/>
      <c r="W184" s="79"/>
      <c r="X184" s="79"/>
      <c r="Y184" s="79"/>
      <c r="Z184" s="91"/>
      <c r="AA184" s="91"/>
      <c r="AB184" s="91"/>
      <c r="AC184" s="79"/>
      <c r="AD184" s="79"/>
      <c r="AE184" s="79"/>
      <c r="AF184" s="92"/>
      <c r="AG184" s="92"/>
      <c r="AH184" s="79"/>
      <c r="AI184" s="79"/>
      <c r="AJ184" s="92"/>
      <c r="AK184" s="79"/>
      <c r="AL184" s="79"/>
      <c r="AM184" s="92"/>
      <c r="AN184" s="92"/>
      <c r="AO184" s="92"/>
      <c r="AP184" s="92"/>
      <c r="AQ184" s="92"/>
      <c r="AR184" s="92"/>
      <c r="AS184" s="92"/>
      <c r="AT184" s="79"/>
      <c r="AU184" s="79"/>
      <c r="AV184" s="92" t="e">
        <f>VLOOKUP(I184, Kiegészítő_Mátrix!C:E, 3, FALSE)</f>
        <v>#N/A</v>
      </c>
    </row>
    <row r="185" spans="1:48" ht="30" customHeight="1" x14ac:dyDescent="0.3">
      <c r="A185" s="79"/>
      <c r="B185" s="79" t="s">
        <v>368</v>
      </c>
      <c r="C185" s="79" t="s">
        <v>163</v>
      </c>
      <c r="D185" s="80" t="s">
        <v>250</v>
      </c>
      <c r="E185" s="81" t="s">
        <v>1018</v>
      </c>
      <c r="F185" s="80" t="s">
        <v>1041</v>
      </c>
      <c r="G185" s="128" t="s">
        <v>1019</v>
      </c>
      <c r="H185" s="81" t="s">
        <v>802</v>
      </c>
      <c r="I185" s="147" t="s">
        <v>251</v>
      </c>
      <c r="J185" s="148" t="s">
        <v>252</v>
      </c>
      <c r="K185" s="126" t="s">
        <v>2158</v>
      </c>
      <c r="L185" s="149" t="s">
        <v>4</v>
      </c>
      <c r="M185" s="85">
        <v>11614</v>
      </c>
      <c r="N185" s="86" t="s">
        <v>17</v>
      </c>
      <c r="O185" s="87"/>
      <c r="P185" s="91" t="s">
        <v>531</v>
      </c>
      <c r="Q185" s="84" t="s">
        <v>5</v>
      </c>
      <c r="R185" s="89" t="s">
        <v>1013</v>
      </c>
      <c r="S185" s="90" t="s">
        <v>1014</v>
      </c>
      <c r="T185" s="79"/>
      <c r="U185" s="79"/>
      <c r="V185" s="79"/>
      <c r="W185" s="79"/>
      <c r="X185" s="79"/>
      <c r="Y185" s="79"/>
      <c r="Z185" s="91"/>
      <c r="AA185" s="91"/>
      <c r="AB185" s="91"/>
      <c r="AC185" s="79"/>
      <c r="AD185" s="79"/>
      <c r="AE185" s="79"/>
      <c r="AF185" s="92"/>
      <c r="AG185" s="92"/>
      <c r="AH185" s="79"/>
      <c r="AI185" s="79"/>
      <c r="AJ185" s="92" t="s">
        <v>1015</v>
      </c>
      <c r="AK185" s="79"/>
      <c r="AL185" s="79" t="s">
        <v>507</v>
      </c>
      <c r="AM185" s="92" t="s">
        <v>409</v>
      </c>
      <c r="AN185" s="92" t="s">
        <v>1016</v>
      </c>
      <c r="AO185" s="92" t="s">
        <v>1017</v>
      </c>
      <c r="AP185" s="92"/>
      <c r="AQ185" s="92" t="s">
        <v>1930</v>
      </c>
      <c r="AR185" s="92" t="s">
        <v>1931</v>
      </c>
      <c r="AS185" s="92" t="s">
        <v>1932</v>
      </c>
      <c r="AT185" s="79"/>
      <c r="AU185" s="79"/>
      <c r="AV185" s="92" t="e">
        <f>VLOOKUP(I185, Kiegészítő_Mátrix!C:E, 3, FALSE)</f>
        <v>#N/A</v>
      </c>
    </row>
    <row r="186" spans="1:48" ht="30" customHeight="1" x14ac:dyDescent="0.3">
      <c r="A186" s="79"/>
      <c r="B186" s="79" t="s">
        <v>368</v>
      </c>
      <c r="C186" s="79" t="s">
        <v>163</v>
      </c>
      <c r="D186" s="80" t="s">
        <v>250</v>
      </c>
      <c r="E186" s="81" t="s">
        <v>1018</v>
      </c>
      <c r="F186" s="80" t="s">
        <v>1041</v>
      </c>
      <c r="G186" s="128" t="s">
        <v>1019</v>
      </c>
      <c r="H186" s="81" t="s">
        <v>802</v>
      </c>
      <c r="I186" s="80" t="s">
        <v>253</v>
      </c>
      <c r="J186" s="79" t="s">
        <v>254</v>
      </c>
      <c r="K186" s="79" t="s">
        <v>2158</v>
      </c>
      <c r="L186" s="84" t="s">
        <v>4</v>
      </c>
      <c r="M186" s="85">
        <v>11614</v>
      </c>
      <c r="N186" s="86" t="s">
        <v>17</v>
      </c>
      <c r="O186" s="87">
        <v>44197</v>
      </c>
      <c r="P186" s="91" t="s">
        <v>1094</v>
      </c>
      <c r="Q186" s="84" t="s">
        <v>5</v>
      </c>
      <c r="R186" s="89" t="s">
        <v>1013</v>
      </c>
      <c r="S186" s="90" t="s">
        <v>1014</v>
      </c>
      <c r="T186" s="79"/>
      <c r="U186" s="79"/>
      <c r="V186" s="79"/>
      <c r="W186" s="79"/>
      <c r="X186" s="79"/>
      <c r="Y186" s="79"/>
      <c r="Z186" s="91"/>
      <c r="AA186" s="91"/>
      <c r="AB186" s="91"/>
      <c r="AC186" s="79"/>
      <c r="AD186" s="79"/>
      <c r="AE186" s="79"/>
      <c r="AF186" s="92"/>
      <c r="AG186" s="92"/>
      <c r="AH186" s="79"/>
      <c r="AI186" s="79"/>
      <c r="AJ186" s="92" t="s">
        <v>1015</v>
      </c>
      <c r="AK186" s="79"/>
      <c r="AL186" s="79" t="s">
        <v>507</v>
      </c>
      <c r="AM186" s="92" t="s">
        <v>409</v>
      </c>
      <c r="AN186" s="92" t="s">
        <v>1016</v>
      </c>
      <c r="AO186" s="92" t="s">
        <v>1017</v>
      </c>
      <c r="AP186" s="92"/>
      <c r="AQ186" s="92" t="s">
        <v>1933</v>
      </c>
      <c r="AR186" s="92" t="s">
        <v>1934</v>
      </c>
      <c r="AS186" s="92" t="s">
        <v>1935</v>
      </c>
      <c r="AT186" s="79"/>
      <c r="AU186" s="79"/>
      <c r="AV186" s="92" t="str">
        <f>VLOOKUP(I186, Kiegészítő_Mátrix!C:E, 3, FALSE)</f>
        <v>Cara orrmaszk kiegészítők</v>
      </c>
    </row>
    <row r="187" spans="1:48" ht="30" customHeight="1" x14ac:dyDescent="0.3">
      <c r="A187" s="79"/>
      <c r="B187" s="79" t="s">
        <v>368</v>
      </c>
      <c r="C187" s="79" t="s">
        <v>163</v>
      </c>
      <c r="D187" s="80" t="s">
        <v>250</v>
      </c>
      <c r="E187" s="81" t="s">
        <v>1018</v>
      </c>
      <c r="F187" s="80" t="s">
        <v>1041</v>
      </c>
      <c r="G187" s="128" t="s">
        <v>1019</v>
      </c>
      <c r="H187" s="81" t="s">
        <v>803</v>
      </c>
      <c r="I187" s="80" t="s">
        <v>255</v>
      </c>
      <c r="J187" s="79" t="s">
        <v>256</v>
      </c>
      <c r="K187" s="79" t="s">
        <v>2158</v>
      </c>
      <c r="L187" s="84" t="s">
        <v>4</v>
      </c>
      <c r="M187" s="85">
        <v>11614</v>
      </c>
      <c r="N187" s="86" t="s">
        <v>17</v>
      </c>
      <c r="O187" s="87">
        <v>41883</v>
      </c>
      <c r="P187" s="91" t="s">
        <v>1094</v>
      </c>
      <c r="Q187" s="84" t="s">
        <v>5</v>
      </c>
      <c r="R187" s="89" t="s">
        <v>1050</v>
      </c>
      <c r="S187" s="90" t="s">
        <v>1053</v>
      </c>
      <c r="T187" s="79"/>
      <c r="U187" s="79"/>
      <c r="V187" s="79"/>
      <c r="W187" s="79"/>
      <c r="X187" s="79"/>
      <c r="Y187" s="79"/>
      <c r="Z187" s="91"/>
      <c r="AA187" s="91"/>
      <c r="AB187" s="91"/>
      <c r="AC187" s="79"/>
      <c r="AD187" s="79"/>
      <c r="AE187" s="79"/>
      <c r="AF187" s="92"/>
      <c r="AG187" s="92"/>
      <c r="AH187" s="79"/>
      <c r="AI187" s="79"/>
      <c r="AJ187" s="92" t="s">
        <v>1015</v>
      </c>
      <c r="AK187" s="79"/>
      <c r="AL187" s="79" t="s">
        <v>507</v>
      </c>
      <c r="AM187" s="92" t="s">
        <v>409</v>
      </c>
      <c r="AN187" s="92" t="s">
        <v>1103</v>
      </c>
      <c r="AO187" s="92" t="s">
        <v>1104</v>
      </c>
      <c r="AP187" s="92"/>
      <c r="AQ187" s="92" t="s">
        <v>1936</v>
      </c>
      <c r="AR187" s="92" t="s">
        <v>1937</v>
      </c>
      <c r="AS187" s="92" t="s">
        <v>1938</v>
      </c>
      <c r="AT187" s="79"/>
      <c r="AU187" s="79"/>
      <c r="AV187" s="92" t="str">
        <f>VLOOKUP(I187, Kiegészítő_Mátrix!C:E, 3, FALSE)</f>
        <v>Joyce Easy kiegészítők</v>
      </c>
    </row>
    <row r="188" spans="1:48" ht="30" customHeight="1" x14ac:dyDescent="0.3">
      <c r="A188" s="79"/>
      <c r="B188" s="79" t="s">
        <v>368</v>
      </c>
      <c r="C188" s="79" t="s">
        <v>163</v>
      </c>
      <c r="D188" s="80" t="s">
        <v>250</v>
      </c>
      <c r="E188" s="81" t="s">
        <v>1018</v>
      </c>
      <c r="F188" s="80" t="s">
        <v>1041</v>
      </c>
      <c r="G188" s="128" t="s">
        <v>1019</v>
      </c>
      <c r="H188" s="81" t="s">
        <v>804</v>
      </c>
      <c r="I188" s="80" t="s">
        <v>257</v>
      </c>
      <c r="J188" s="79" t="s">
        <v>258</v>
      </c>
      <c r="K188" s="79" t="s">
        <v>2158</v>
      </c>
      <c r="L188" s="84" t="s">
        <v>4</v>
      </c>
      <c r="M188" s="85">
        <v>11614</v>
      </c>
      <c r="N188" s="86" t="s">
        <v>17</v>
      </c>
      <c r="O188" s="87">
        <v>42370</v>
      </c>
      <c r="P188" s="91" t="s">
        <v>1094</v>
      </c>
      <c r="Q188" s="84" t="s">
        <v>5</v>
      </c>
      <c r="R188" s="89" t="s">
        <v>1051</v>
      </c>
      <c r="S188" s="90" t="s">
        <v>1052</v>
      </c>
      <c r="T188" s="79"/>
      <c r="U188" s="79"/>
      <c r="V188" s="79"/>
      <c r="W188" s="79"/>
      <c r="X188" s="79"/>
      <c r="Y188" s="79"/>
      <c r="Z188" s="91"/>
      <c r="AA188" s="91"/>
      <c r="AB188" s="91"/>
      <c r="AC188" s="79"/>
      <c r="AD188" s="79"/>
      <c r="AE188" s="79"/>
      <c r="AF188" s="92"/>
      <c r="AG188" s="92"/>
      <c r="AH188" s="79"/>
      <c r="AI188" s="79"/>
      <c r="AJ188" s="92" t="s">
        <v>1015</v>
      </c>
      <c r="AK188" s="79"/>
      <c r="AL188" s="79" t="s">
        <v>507</v>
      </c>
      <c r="AM188" s="92" t="s">
        <v>409</v>
      </c>
      <c r="AN188" s="92" t="s">
        <v>1105</v>
      </c>
      <c r="AO188" s="92" t="s">
        <v>1104</v>
      </c>
      <c r="AP188" s="92"/>
      <c r="AQ188" s="92" t="s">
        <v>1939</v>
      </c>
      <c r="AR188" s="92" t="s">
        <v>1940</v>
      </c>
      <c r="AS188" s="92" t="s">
        <v>1941</v>
      </c>
      <c r="AT188" s="79"/>
      <c r="AU188" s="79"/>
      <c r="AV188" s="92" t="str">
        <f>VLOOKUP(I188, Kiegészítő_Mátrix!C:E, 3, FALSE)</f>
        <v>Joyce ONE kiegészítők</v>
      </c>
    </row>
    <row r="189" spans="1:48" s="10" customFormat="1" ht="30" customHeight="1" x14ac:dyDescent="0.3">
      <c r="A189" s="118"/>
      <c r="B189" s="118" t="s">
        <v>368</v>
      </c>
      <c r="C189" s="118" t="s">
        <v>163</v>
      </c>
      <c r="D189" s="117" t="s">
        <v>250</v>
      </c>
      <c r="E189" s="81" t="s">
        <v>1018</v>
      </c>
      <c r="F189" s="80" t="s">
        <v>1041</v>
      </c>
      <c r="G189" s="128" t="s">
        <v>1019</v>
      </c>
      <c r="H189" s="138"/>
      <c r="I189" s="117" t="s">
        <v>259</v>
      </c>
      <c r="J189" s="118" t="s">
        <v>2126</v>
      </c>
      <c r="K189" s="126" t="s">
        <v>2158</v>
      </c>
      <c r="L189" s="119" t="s">
        <v>4</v>
      </c>
      <c r="M189" s="85">
        <v>11615</v>
      </c>
      <c r="N189" s="86" t="s">
        <v>17</v>
      </c>
      <c r="O189" s="87"/>
      <c r="P189" s="91" t="s">
        <v>534</v>
      </c>
      <c r="Q189" s="84" t="s">
        <v>5</v>
      </c>
      <c r="R189" s="144"/>
      <c r="S189" s="146"/>
      <c r="T189" s="118"/>
      <c r="U189" s="118"/>
      <c r="V189" s="118"/>
      <c r="W189" s="118"/>
      <c r="X189" s="118"/>
      <c r="Y189" s="118"/>
      <c r="Z189" s="143"/>
      <c r="AA189" s="143"/>
      <c r="AB189" s="143"/>
      <c r="AC189" s="118"/>
      <c r="AD189" s="118"/>
      <c r="AE189" s="118"/>
      <c r="AF189" s="145"/>
      <c r="AG189" s="145"/>
      <c r="AH189" s="118"/>
      <c r="AI189" s="118"/>
      <c r="AJ189" s="145"/>
      <c r="AK189" s="118"/>
      <c r="AL189" s="118"/>
      <c r="AM189" s="145"/>
      <c r="AN189" s="145"/>
      <c r="AO189" s="145"/>
      <c r="AP189" s="145"/>
      <c r="AQ189" s="145" t="s">
        <v>1942</v>
      </c>
      <c r="AR189" s="145" t="s">
        <v>1943</v>
      </c>
      <c r="AS189" s="145" t="s">
        <v>1944</v>
      </c>
      <c r="AT189" s="118"/>
      <c r="AU189" s="118"/>
      <c r="AV189" s="145" t="str">
        <f>VLOOKUP(I189, Kiegészítő_Mátrix!C:E, 3, FALSE)</f>
        <v>Cara FullFace kiegészítők</v>
      </c>
    </row>
    <row r="190" spans="1:48" s="10" customFormat="1" ht="30" customHeight="1" x14ac:dyDescent="0.3">
      <c r="A190" s="118"/>
      <c r="B190" s="118" t="s">
        <v>368</v>
      </c>
      <c r="C190" s="118" t="s">
        <v>163</v>
      </c>
      <c r="D190" s="117" t="s">
        <v>250</v>
      </c>
      <c r="E190" s="81" t="s">
        <v>1018</v>
      </c>
      <c r="F190" s="80" t="s">
        <v>1041</v>
      </c>
      <c r="G190" s="128" t="s">
        <v>1019</v>
      </c>
      <c r="H190" s="138" t="s">
        <v>1024</v>
      </c>
      <c r="I190" s="117" t="s">
        <v>1025</v>
      </c>
      <c r="J190" s="118" t="s">
        <v>1023</v>
      </c>
      <c r="K190" s="126" t="s">
        <v>2158</v>
      </c>
      <c r="L190" s="119" t="s">
        <v>4</v>
      </c>
      <c r="M190" s="140">
        <v>17780</v>
      </c>
      <c r="N190" s="141" t="s">
        <v>17</v>
      </c>
      <c r="O190" s="142"/>
      <c r="P190" s="143" t="s">
        <v>1094</v>
      </c>
      <c r="Q190" s="119" t="s">
        <v>17</v>
      </c>
      <c r="R190" s="144" t="s">
        <v>1084</v>
      </c>
      <c r="S190" s="146" t="s">
        <v>1085</v>
      </c>
      <c r="T190" s="118"/>
      <c r="U190" s="118"/>
      <c r="V190" s="118"/>
      <c r="W190" s="118"/>
      <c r="X190" s="118"/>
      <c r="Y190" s="118"/>
      <c r="Z190" s="143"/>
      <c r="AA190" s="143"/>
      <c r="AB190" s="143"/>
      <c r="AC190" s="118"/>
      <c r="AD190" s="118"/>
      <c r="AE190" s="118"/>
      <c r="AF190" s="145"/>
      <c r="AG190" s="145"/>
      <c r="AH190" s="118"/>
      <c r="AI190" s="118"/>
      <c r="AJ190" s="92" t="s">
        <v>1015</v>
      </c>
      <c r="AK190" s="79"/>
      <c r="AL190" s="79" t="s">
        <v>507</v>
      </c>
      <c r="AM190" s="92" t="s">
        <v>409</v>
      </c>
      <c r="AN190" s="145" t="s">
        <v>1102</v>
      </c>
      <c r="AO190" s="145" t="s">
        <v>1101</v>
      </c>
      <c r="AP190" s="145"/>
      <c r="AQ190" s="145" t="s">
        <v>1969</v>
      </c>
      <c r="AR190" s="145" t="s">
        <v>1970</v>
      </c>
      <c r="AS190" s="145" t="s">
        <v>1971</v>
      </c>
      <c r="AT190" s="118"/>
      <c r="AU190" s="118"/>
      <c r="AV190" s="145" t="str">
        <f>VLOOKUP(I190, Kiegészítő_Mátrix!C:E, 3, FALSE)</f>
        <v>Julia kiegészítők</v>
      </c>
    </row>
    <row r="191" spans="1:48" s="10" customFormat="1" ht="29.4" customHeight="1" x14ac:dyDescent="0.3">
      <c r="A191" s="118"/>
      <c r="B191" s="118" t="s">
        <v>368</v>
      </c>
      <c r="C191" s="118" t="s">
        <v>163</v>
      </c>
      <c r="D191" s="117" t="s">
        <v>250</v>
      </c>
      <c r="E191" s="81" t="s">
        <v>1018</v>
      </c>
      <c r="F191" s="80" t="s">
        <v>1041</v>
      </c>
      <c r="G191" s="128" t="s">
        <v>1019</v>
      </c>
      <c r="H191" s="138" t="s">
        <v>1024</v>
      </c>
      <c r="I191" s="117" t="s">
        <v>1026</v>
      </c>
      <c r="J191" s="118" t="s">
        <v>1022</v>
      </c>
      <c r="K191" s="126" t="s">
        <v>2158</v>
      </c>
      <c r="L191" s="119" t="s">
        <v>4</v>
      </c>
      <c r="M191" s="140">
        <v>17781</v>
      </c>
      <c r="N191" s="141" t="s">
        <v>17</v>
      </c>
      <c r="O191" s="142"/>
      <c r="P191" s="143" t="s">
        <v>597</v>
      </c>
      <c r="Q191" s="119" t="s">
        <v>17</v>
      </c>
      <c r="R191" s="144"/>
      <c r="S191" s="146"/>
      <c r="T191" s="118"/>
      <c r="U191" s="118"/>
      <c r="V191" s="118"/>
      <c r="W191" s="118"/>
      <c r="X191" s="118"/>
      <c r="Y191" s="118"/>
      <c r="Z191" s="143"/>
      <c r="AA191" s="143"/>
      <c r="AB191" s="143"/>
      <c r="AC191" s="118"/>
      <c r="AD191" s="118"/>
      <c r="AE191" s="118"/>
      <c r="AF191" s="145"/>
      <c r="AG191" s="145"/>
      <c r="AH191" s="118"/>
      <c r="AI191" s="118"/>
      <c r="AJ191" s="145"/>
      <c r="AK191" s="118"/>
      <c r="AL191" s="118"/>
      <c r="AM191" s="145"/>
      <c r="AN191" s="145"/>
      <c r="AO191" s="145"/>
      <c r="AP191" s="145"/>
      <c r="AQ191" s="145" t="s">
        <v>1972</v>
      </c>
      <c r="AR191" s="145" t="s">
        <v>1973</v>
      </c>
      <c r="AS191" s="145" t="s">
        <v>1974</v>
      </c>
      <c r="AT191" s="118"/>
      <c r="AU191" s="118"/>
      <c r="AV191" s="145" t="str">
        <f>VLOOKUP(I191, Kiegészítő_Mátrix!C:E, 3, FALSE)</f>
        <v>Julia kiegészítők</v>
      </c>
    </row>
    <row r="192" spans="1:48" ht="30" customHeight="1" x14ac:dyDescent="0.3">
      <c r="A192" s="79"/>
      <c r="B192" s="79" t="s">
        <v>368</v>
      </c>
      <c r="C192" s="79" t="s">
        <v>163</v>
      </c>
      <c r="D192" s="80" t="s">
        <v>250</v>
      </c>
      <c r="E192" s="81" t="s">
        <v>1018</v>
      </c>
      <c r="F192" s="80" t="s">
        <v>1041</v>
      </c>
      <c r="G192" s="128" t="s">
        <v>1019</v>
      </c>
      <c r="H192" s="81" t="s">
        <v>807</v>
      </c>
      <c r="I192" s="80">
        <v>1116751</v>
      </c>
      <c r="J192" s="79" t="s">
        <v>265</v>
      </c>
      <c r="K192" s="79" t="s">
        <v>2158</v>
      </c>
      <c r="L192" s="84" t="s">
        <v>16</v>
      </c>
      <c r="M192" s="85">
        <v>17780</v>
      </c>
      <c r="N192" s="86" t="s">
        <v>17</v>
      </c>
      <c r="O192" s="87">
        <v>44197</v>
      </c>
      <c r="P192" s="91" t="s">
        <v>1094</v>
      </c>
      <c r="Q192" s="84" t="s">
        <v>5</v>
      </c>
      <c r="R192" s="89" t="s">
        <v>1086</v>
      </c>
      <c r="S192" s="90" t="s">
        <v>1087</v>
      </c>
      <c r="T192" s="79"/>
      <c r="U192" s="79"/>
      <c r="V192" s="79"/>
      <c r="W192" s="79"/>
      <c r="X192" s="79"/>
      <c r="Y192" s="79"/>
      <c r="Z192" s="91"/>
      <c r="AA192" s="91"/>
      <c r="AB192" s="91"/>
      <c r="AC192" s="79"/>
      <c r="AD192" s="79"/>
      <c r="AE192" s="79"/>
      <c r="AF192" s="92"/>
      <c r="AG192" s="92"/>
      <c r="AH192" s="79"/>
      <c r="AI192" s="79"/>
      <c r="AJ192" s="92" t="s">
        <v>1015</v>
      </c>
      <c r="AK192" s="79"/>
      <c r="AL192" s="79" t="s">
        <v>507</v>
      </c>
      <c r="AM192" s="92" t="s">
        <v>409</v>
      </c>
      <c r="AN192" s="92" t="s">
        <v>1099</v>
      </c>
      <c r="AO192" s="92" t="s">
        <v>1100</v>
      </c>
      <c r="AP192" s="92"/>
      <c r="AQ192" s="145" t="s">
        <v>1945</v>
      </c>
      <c r="AR192" s="145" t="s">
        <v>1946</v>
      </c>
      <c r="AS192" s="145" t="s">
        <v>1947</v>
      </c>
      <c r="AT192" s="79"/>
      <c r="AU192" s="79"/>
      <c r="AV192" s="92" t="str">
        <f>VLOOKUP(I192, Kiegészítő_Mátrix!C:E, 3, FALSE)</f>
        <v>Dreamwear kiegészítők</v>
      </c>
    </row>
    <row r="193" spans="1:48" ht="29.4" customHeight="1" x14ac:dyDescent="0.3">
      <c r="A193" s="79"/>
      <c r="B193" s="79" t="s">
        <v>368</v>
      </c>
      <c r="C193" s="79" t="s">
        <v>163</v>
      </c>
      <c r="D193" s="80" t="s">
        <v>250</v>
      </c>
      <c r="E193" s="81" t="s">
        <v>1018</v>
      </c>
      <c r="F193" s="80" t="s">
        <v>1041</v>
      </c>
      <c r="G193" s="128" t="s">
        <v>1019</v>
      </c>
      <c r="H193" s="81" t="s">
        <v>811</v>
      </c>
      <c r="I193" s="80">
        <v>1105176</v>
      </c>
      <c r="J193" s="79" t="s">
        <v>272</v>
      </c>
      <c r="K193" s="79" t="s">
        <v>2159</v>
      </c>
      <c r="L193" s="84" t="s">
        <v>16</v>
      </c>
      <c r="M193" s="85">
        <v>21590</v>
      </c>
      <c r="N193" s="86" t="s">
        <v>17</v>
      </c>
      <c r="O193" s="87">
        <v>43040</v>
      </c>
      <c r="P193" s="91"/>
      <c r="Q193" s="84" t="s">
        <v>5</v>
      </c>
      <c r="R193" s="89"/>
      <c r="S193" s="90"/>
      <c r="T193" s="79"/>
      <c r="U193" s="79"/>
      <c r="V193" s="79"/>
      <c r="W193" s="79"/>
      <c r="X193" s="79"/>
      <c r="Y193" s="79"/>
      <c r="Z193" s="91"/>
      <c r="AA193" s="91"/>
      <c r="AB193" s="91"/>
      <c r="AC193" s="79"/>
      <c r="AD193" s="79"/>
      <c r="AE193" s="79"/>
      <c r="AF193" s="92"/>
      <c r="AG193" s="92"/>
      <c r="AH193" s="79"/>
      <c r="AI193" s="79"/>
      <c r="AJ193" s="92"/>
      <c r="AK193" s="79"/>
      <c r="AL193" s="79"/>
      <c r="AM193" s="92"/>
      <c r="AN193" s="92"/>
      <c r="AO193" s="92"/>
      <c r="AP193" s="92"/>
      <c r="AQ193" s="145" t="s">
        <v>1948</v>
      </c>
      <c r="AR193" s="145" t="s">
        <v>1949</v>
      </c>
      <c r="AS193" s="145" t="s">
        <v>1950</v>
      </c>
      <c r="AT193" s="79"/>
      <c r="AU193" s="79"/>
      <c r="AV193" s="92" t="e">
        <f>VLOOKUP(I193, Kiegészítő_Mátrix!C:E, 3, FALSE)</f>
        <v>#N/A</v>
      </c>
    </row>
    <row r="194" spans="1:48" ht="30" customHeight="1" x14ac:dyDescent="0.3">
      <c r="A194" s="79"/>
      <c r="B194" s="79" t="s">
        <v>368</v>
      </c>
      <c r="C194" s="79" t="s">
        <v>163</v>
      </c>
      <c r="D194" s="80" t="s">
        <v>250</v>
      </c>
      <c r="E194" s="81" t="s">
        <v>1018</v>
      </c>
      <c r="F194" s="80" t="s">
        <v>1041</v>
      </c>
      <c r="G194" s="128" t="s">
        <v>1019</v>
      </c>
      <c r="H194" s="81" t="s">
        <v>2125</v>
      </c>
      <c r="I194" s="80">
        <v>1105178</v>
      </c>
      <c r="J194" s="79" t="s">
        <v>273</v>
      </c>
      <c r="K194" s="79" t="s">
        <v>2158</v>
      </c>
      <c r="L194" s="84" t="s">
        <v>16</v>
      </c>
      <c r="M194" s="85">
        <v>21590</v>
      </c>
      <c r="N194" s="86" t="s">
        <v>17</v>
      </c>
      <c r="O194" s="87">
        <v>43101</v>
      </c>
      <c r="P194" s="91" t="s">
        <v>1094</v>
      </c>
      <c r="Q194" s="101" t="s">
        <v>30</v>
      </c>
      <c r="R194" s="89" t="s">
        <v>1088</v>
      </c>
      <c r="S194" s="90" t="s">
        <v>1089</v>
      </c>
      <c r="T194" s="79"/>
      <c r="U194" s="79"/>
      <c r="V194" s="79"/>
      <c r="W194" s="79"/>
      <c r="X194" s="79"/>
      <c r="Y194" s="79"/>
      <c r="Z194" s="91"/>
      <c r="AA194" s="91"/>
      <c r="AB194" s="91"/>
      <c r="AC194" s="79"/>
      <c r="AD194" s="79"/>
      <c r="AE194" s="79"/>
      <c r="AF194" s="92"/>
      <c r="AG194" s="92"/>
      <c r="AH194" s="79"/>
      <c r="AI194" s="79"/>
      <c r="AJ194" s="92" t="s">
        <v>1015</v>
      </c>
      <c r="AK194" s="79"/>
      <c r="AL194" s="79" t="s">
        <v>507</v>
      </c>
      <c r="AM194" s="92" t="s">
        <v>409</v>
      </c>
      <c r="AN194" s="92" t="s">
        <v>1098</v>
      </c>
      <c r="AO194" s="92" t="s">
        <v>1017</v>
      </c>
      <c r="AP194" s="92"/>
      <c r="AQ194" s="92" t="s">
        <v>1951</v>
      </c>
      <c r="AR194" s="92" t="s">
        <v>1952</v>
      </c>
      <c r="AS194" s="92" t="s">
        <v>1953</v>
      </c>
      <c r="AT194" s="79"/>
      <c r="AU194" s="79"/>
      <c r="AV194" s="92" t="str">
        <f>VLOOKUP(I194, Kiegészítő_Mátrix!C:E, 3, FALSE)</f>
        <v>Nuance Pro kiegészítők</v>
      </c>
    </row>
    <row r="195" spans="1:48" ht="30" customHeight="1" x14ac:dyDescent="0.3">
      <c r="A195" s="79"/>
      <c r="B195" s="79" t="s">
        <v>368</v>
      </c>
      <c r="C195" s="79" t="s">
        <v>163</v>
      </c>
      <c r="D195" s="80" t="s">
        <v>250</v>
      </c>
      <c r="E195" s="81" t="s">
        <v>1018</v>
      </c>
      <c r="F195" s="80" t="s">
        <v>1041</v>
      </c>
      <c r="G195" s="128" t="s">
        <v>1019</v>
      </c>
      <c r="H195" s="81" t="s">
        <v>2125</v>
      </c>
      <c r="I195" s="131">
        <v>1105179</v>
      </c>
      <c r="J195" s="126" t="s">
        <v>274</v>
      </c>
      <c r="K195" s="126" t="s">
        <v>2158</v>
      </c>
      <c r="L195" s="101" t="s">
        <v>16</v>
      </c>
      <c r="M195" s="120"/>
      <c r="N195" s="86" t="s">
        <v>17</v>
      </c>
      <c r="O195" s="87"/>
      <c r="P195" s="91" t="s">
        <v>1094</v>
      </c>
      <c r="Q195" s="101" t="s">
        <v>17</v>
      </c>
      <c r="R195" s="89"/>
      <c r="S195" s="90"/>
      <c r="T195" s="79"/>
      <c r="U195" s="79"/>
      <c r="V195" s="79"/>
      <c r="W195" s="79"/>
      <c r="X195" s="79"/>
      <c r="Y195" s="79"/>
      <c r="Z195" s="91"/>
      <c r="AA195" s="91"/>
      <c r="AB195" s="91"/>
      <c r="AC195" s="79"/>
      <c r="AD195" s="79"/>
      <c r="AE195" s="79"/>
      <c r="AF195" s="92"/>
      <c r="AG195" s="92"/>
      <c r="AH195" s="79"/>
      <c r="AI195" s="79"/>
      <c r="AJ195" s="92"/>
      <c r="AK195" s="79"/>
      <c r="AL195" s="79"/>
      <c r="AM195" s="92"/>
      <c r="AN195" s="92"/>
      <c r="AO195" s="92"/>
      <c r="AP195" s="92"/>
      <c r="AQ195" s="92" t="s">
        <v>1954</v>
      </c>
      <c r="AR195" s="92" t="s">
        <v>1955</v>
      </c>
      <c r="AS195" s="92" t="s">
        <v>1956</v>
      </c>
      <c r="AT195" s="79"/>
      <c r="AU195" s="79"/>
      <c r="AV195" s="92" t="str">
        <f>VLOOKUP(I195, Kiegészítő_Mátrix!C:E, 3, FALSE)</f>
        <v>Nuance Pro kiegészítők</v>
      </c>
    </row>
    <row r="196" spans="1:48" ht="30" customHeight="1" x14ac:dyDescent="0.3">
      <c r="A196" s="79"/>
      <c r="B196" s="79" t="s">
        <v>368</v>
      </c>
      <c r="C196" s="79" t="s">
        <v>163</v>
      </c>
      <c r="D196" s="80" t="s">
        <v>250</v>
      </c>
      <c r="E196" s="81" t="s">
        <v>1018</v>
      </c>
      <c r="F196" s="80" t="s">
        <v>1041</v>
      </c>
      <c r="G196" s="128" t="s">
        <v>1019</v>
      </c>
      <c r="H196" s="81" t="s">
        <v>812</v>
      </c>
      <c r="I196" s="80">
        <v>1146406</v>
      </c>
      <c r="J196" s="79" t="s">
        <v>275</v>
      </c>
      <c r="K196" s="79" t="s">
        <v>2158</v>
      </c>
      <c r="L196" s="84" t="s">
        <v>16</v>
      </c>
      <c r="M196" s="85">
        <v>13970</v>
      </c>
      <c r="N196" s="86" t="s">
        <v>17</v>
      </c>
      <c r="O196" s="87">
        <v>44774</v>
      </c>
      <c r="P196" s="91" t="s">
        <v>1094</v>
      </c>
      <c r="Q196" s="84" t="s">
        <v>5</v>
      </c>
      <c r="R196" s="89" t="s">
        <v>1090</v>
      </c>
      <c r="S196" s="90" t="s">
        <v>1091</v>
      </c>
      <c r="T196" s="79"/>
      <c r="U196" s="79"/>
      <c r="V196" s="79"/>
      <c r="W196" s="79"/>
      <c r="X196" s="79"/>
      <c r="Y196" s="79"/>
      <c r="Z196" s="91"/>
      <c r="AA196" s="91"/>
      <c r="AB196" s="91"/>
      <c r="AC196" s="79"/>
      <c r="AD196" s="79"/>
      <c r="AE196" s="79"/>
      <c r="AF196" s="92"/>
      <c r="AG196" s="92"/>
      <c r="AH196" s="79"/>
      <c r="AI196" s="79"/>
      <c r="AJ196" s="92" t="s">
        <v>1015</v>
      </c>
      <c r="AK196" s="79"/>
      <c r="AL196" s="79" t="s">
        <v>507</v>
      </c>
      <c r="AM196" s="92" t="s">
        <v>409</v>
      </c>
      <c r="AN196" s="92" t="s">
        <v>1096</v>
      </c>
      <c r="AO196" s="92" t="s">
        <v>1017</v>
      </c>
      <c r="AP196" s="92"/>
      <c r="AQ196" s="92" t="s">
        <v>1957</v>
      </c>
      <c r="AR196" s="92" t="s">
        <v>1958</v>
      </c>
      <c r="AS196" s="92" t="s">
        <v>1959</v>
      </c>
      <c r="AT196" s="79"/>
      <c r="AU196" s="79"/>
      <c r="AV196" s="92" t="str">
        <f>VLOOKUP(I196, Kiegészítő_Mátrix!C:E, 3, FALSE)</f>
        <v>Pico kiegészítők</v>
      </c>
    </row>
    <row r="197" spans="1:48" ht="30" customHeight="1" x14ac:dyDescent="0.3">
      <c r="A197" s="79"/>
      <c r="B197" s="79" t="s">
        <v>368</v>
      </c>
      <c r="C197" s="79" t="s">
        <v>163</v>
      </c>
      <c r="D197" s="80" t="s">
        <v>250</v>
      </c>
      <c r="E197" s="81" t="s">
        <v>1018</v>
      </c>
      <c r="F197" s="80" t="s">
        <v>1041</v>
      </c>
      <c r="G197" s="128" t="s">
        <v>1019</v>
      </c>
      <c r="H197" s="81" t="s">
        <v>814</v>
      </c>
      <c r="I197" s="80">
        <v>1094078</v>
      </c>
      <c r="J197" s="79" t="s">
        <v>277</v>
      </c>
      <c r="K197" s="79" t="s">
        <v>2158</v>
      </c>
      <c r="L197" s="84" t="s">
        <v>16</v>
      </c>
      <c r="M197" s="85">
        <v>17780</v>
      </c>
      <c r="N197" s="86" t="s">
        <v>17</v>
      </c>
      <c r="O197" s="87">
        <v>42522</v>
      </c>
      <c r="P197" s="91" t="s">
        <v>1094</v>
      </c>
      <c r="Q197" s="84" t="s">
        <v>5</v>
      </c>
      <c r="R197" s="89" t="s">
        <v>1092</v>
      </c>
      <c r="S197" s="90" t="s">
        <v>1093</v>
      </c>
      <c r="T197" s="79"/>
      <c r="U197" s="79"/>
      <c r="V197" s="79"/>
      <c r="W197" s="79"/>
      <c r="X197" s="79"/>
      <c r="Y197" s="79"/>
      <c r="Z197" s="91"/>
      <c r="AA197" s="91"/>
      <c r="AB197" s="91"/>
      <c r="AC197" s="79"/>
      <c r="AD197" s="79"/>
      <c r="AE197" s="79"/>
      <c r="AF197" s="92"/>
      <c r="AG197" s="92"/>
      <c r="AH197" s="79"/>
      <c r="AI197" s="79"/>
      <c r="AJ197" s="92" t="s">
        <v>1015</v>
      </c>
      <c r="AK197" s="79"/>
      <c r="AL197" s="79" t="s">
        <v>507</v>
      </c>
      <c r="AM197" s="92" t="s">
        <v>409</v>
      </c>
      <c r="AN197" s="92" t="s">
        <v>1095</v>
      </c>
      <c r="AO197" s="92" t="s">
        <v>1097</v>
      </c>
      <c r="AP197" s="92"/>
      <c r="AQ197" s="92" t="s">
        <v>1960</v>
      </c>
      <c r="AR197" s="92" t="s">
        <v>1961</v>
      </c>
      <c r="AS197" s="92" t="s">
        <v>1962</v>
      </c>
      <c r="AT197" s="79"/>
      <c r="AU197" s="79"/>
      <c r="AV197" s="92" t="str">
        <f>VLOOKUP(I197, Kiegészítő_Mátrix!C:E, 3, FALSE)</f>
        <v>Wisp kiegészítők</v>
      </c>
    </row>
    <row r="198" spans="1:48" ht="30" customHeight="1" x14ac:dyDescent="0.3">
      <c r="A198" s="79"/>
      <c r="B198" s="79" t="s">
        <v>368</v>
      </c>
      <c r="C198" s="79" t="s">
        <v>163</v>
      </c>
      <c r="D198" s="80" t="s">
        <v>250</v>
      </c>
      <c r="E198" s="81" t="s">
        <v>1018</v>
      </c>
      <c r="F198" s="80" t="s">
        <v>1041</v>
      </c>
      <c r="G198" s="128" t="s">
        <v>1019</v>
      </c>
      <c r="H198" s="81" t="s">
        <v>814</v>
      </c>
      <c r="I198" s="161">
        <v>1109307</v>
      </c>
      <c r="J198" s="126" t="s">
        <v>1261</v>
      </c>
      <c r="K198" s="126" t="s">
        <v>2158</v>
      </c>
      <c r="L198" s="84" t="s">
        <v>16</v>
      </c>
      <c r="M198" s="85">
        <v>17781</v>
      </c>
      <c r="N198" s="86" t="s">
        <v>17</v>
      </c>
      <c r="O198" s="87"/>
      <c r="P198" s="91" t="s">
        <v>597</v>
      </c>
      <c r="Q198" s="84" t="s">
        <v>5</v>
      </c>
      <c r="R198" s="89" t="s">
        <v>1092</v>
      </c>
      <c r="S198" s="90" t="s">
        <v>1093</v>
      </c>
      <c r="T198" s="79"/>
      <c r="U198" s="79"/>
      <c r="V198" s="79"/>
      <c r="W198" s="79"/>
      <c r="X198" s="79"/>
      <c r="Y198" s="79"/>
      <c r="Z198" s="91"/>
      <c r="AA198" s="91"/>
      <c r="AB198" s="91"/>
      <c r="AC198" s="79"/>
      <c r="AD198" s="79"/>
      <c r="AE198" s="79"/>
      <c r="AF198" s="92"/>
      <c r="AG198" s="92"/>
      <c r="AH198" s="79"/>
      <c r="AI198" s="79"/>
      <c r="AJ198" s="92"/>
      <c r="AK198" s="79"/>
      <c r="AL198" s="79"/>
      <c r="AM198" s="92"/>
      <c r="AN198" s="92"/>
      <c r="AO198" s="92"/>
      <c r="AP198" s="92"/>
      <c r="AQ198" s="92" t="s">
        <v>1963</v>
      </c>
      <c r="AR198" s="92" t="s">
        <v>1964</v>
      </c>
      <c r="AS198" s="92" t="s">
        <v>1965</v>
      </c>
      <c r="AT198" s="79"/>
      <c r="AU198" s="79"/>
      <c r="AV198" s="92" t="str">
        <f>VLOOKUP(I198, Kiegészítő_Mátrix!C:E, 3, FALSE)</f>
        <v>Wisp kiegészítők</v>
      </c>
    </row>
    <row r="199" spans="1:48" ht="30" customHeight="1" x14ac:dyDescent="0.3">
      <c r="A199" s="79"/>
      <c r="B199" s="79" t="s">
        <v>368</v>
      </c>
      <c r="C199" s="79" t="s">
        <v>163</v>
      </c>
      <c r="D199" s="80" t="s">
        <v>250</v>
      </c>
      <c r="E199" s="81" t="s">
        <v>1018</v>
      </c>
      <c r="F199" s="80" t="s">
        <v>1041</v>
      </c>
      <c r="G199" s="128" t="s">
        <v>1019</v>
      </c>
      <c r="H199" s="81" t="s">
        <v>813</v>
      </c>
      <c r="I199" s="80" t="s">
        <v>1378</v>
      </c>
      <c r="J199" s="79" t="s">
        <v>276</v>
      </c>
      <c r="K199" s="79" t="s">
        <v>2158</v>
      </c>
      <c r="L199" s="84" t="s">
        <v>16</v>
      </c>
      <c r="M199" s="85">
        <v>24130</v>
      </c>
      <c r="N199" s="86" t="s">
        <v>17</v>
      </c>
      <c r="O199" s="87">
        <v>40817</v>
      </c>
      <c r="P199" s="91" t="s">
        <v>1094</v>
      </c>
      <c r="Q199" s="84" t="s">
        <v>5</v>
      </c>
      <c r="R199" s="89" t="s">
        <v>1076</v>
      </c>
      <c r="S199" s="90" t="s">
        <v>1077</v>
      </c>
      <c r="T199" s="79"/>
      <c r="U199" s="79"/>
      <c r="V199" s="79"/>
      <c r="W199" s="79"/>
      <c r="X199" s="79"/>
      <c r="Y199" s="79"/>
      <c r="Z199" s="91"/>
      <c r="AA199" s="91"/>
      <c r="AB199" s="91"/>
      <c r="AC199" s="79"/>
      <c r="AD199" s="79"/>
      <c r="AE199" s="79"/>
      <c r="AF199" s="92"/>
      <c r="AG199" s="92"/>
      <c r="AH199" s="79"/>
      <c r="AI199" s="79"/>
      <c r="AJ199" s="92" t="s">
        <v>1015</v>
      </c>
      <c r="AK199" s="79"/>
      <c r="AL199" s="79" t="s">
        <v>507</v>
      </c>
      <c r="AM199" s="92" t="s">
        <v>409</v>
      </c>
      <c r="AN199" s="92" t="s">
        <v>1081</v>
      </c>
      <c r="AO199" s="92" t="s">
        <v>1082</v>
      </c>
      <c r="AP199" s="92"/>
      <c r="AQ199" s="92" t="s">
        <v>1966</v>
      </c>
      <c r="AR199" s="92" t="s">
        <v>1967</v>
      </c>
      <c r="AS199" s="92" t="s">
        <v>1968</v>
      </c>
      <c r="AT199" s="79"/>
      <c r="AU199" s="79"/>
      <c r="AV199" s="92" t="e">
        <f>VLOOKUP(I199, Kiegészítő_Mátrix!C:E, 3, FALSE)</f>
        <v>#N/A</v>
      </c>
    </row>
    <row r="200" spans="1:48" ht="30" customHeight="1" x14ac:dyDescent="0.3">
      <c r="A200" s="79"/>
      <c r="B200" s="79" t="s">
        <v>368</v>
      </c>
      <c r="C200" s="79" t="s">
        <v>163</v>
      </c>
      <c r="D200" s="80" t="s">
        <v>250</v>
      </c>
      <c r="E200" s="81" t="s">
        <v>1018</v>
      </c>
      <c r="F200" s="80" t="s">
        <v>1041</v>
      </c>
      <c r="G200" s="128" t="s">
        <v>1019</v>
      </c>
      <c r="H200" s="81" t="s">
        <v>805</v>
      </c>
      <c r="I200" s="80">
        <v>1012911</v>
      </c>
      <c r="J200" s="79" t="s">
        <v>260</v>
      </c>
      <c r="K200" s="79" t="s">
        <v>2158</v>
      </c>
      <c r="L200" s="84" t="s">
        <v>16</v>
      </c>
      <c r="M200" s="85">
        <v>25400</v>
      </c>
      <c r="N200" s="86" t="s">
        <v>17</v>
      </c>
      <c r="O200" s="87">
        <v>41640</v>
      </c>
      <c r="P200" s="91" t="s">
        <v>1094</v>
      </c>
      <c r="Q200" s="84" t="s">
        <v>5</v>
      </c>
      <c r="R200" s="89" t="s">
        <v>1978</v>
      </c>
      <c r="S200" s="90" t="s">
        <v>1083</v>
      </c>
      <c r="T200" s="79"/>
      <c r="U200" s="79"/>
      <c r="V200" s="79"/>
      <c r="W200" s="79"/>
      <c r="X200" s="79"/>
      <c r="Y200" s="79"/>
      <c r="Z200" s="91"/>
      <c r="AA200" s="91"/>
      <c r="AB200" s="91"/>
      <c r="AC200" s="79"/>
      <c r="AD200" s="79"/>
      <c r="AE200" s="79"/>
      <c r="AF200" s="92"/>
      <c r="AG200" s="92"/>
      <c r="AH200" s="79"/>
      <c r="AI200" s="79"/>
      <c r="AJ200" s="92" t="s">
        <v>1078</v>
      </c>
      <c r="AK200" s="79"/>
      <c r="AL200" s="79" t="s">
        <v>507</v>
      </c>
      <c r="AM200" s="92" t="s">
        <v>409</v>
      </c>
      <c r="AN200" s="92" t="s">
        <v>1079</v>
      </c>
      <c r="AO200" s="92" t="s">
        <v>1080</v>
      </c>
      <c r="AP200" s="92"/>
      <c r="AQ200" s="92" t="s">
        <v>1975</v>
      </c>
      <c r="AR200" s="92" t="s">
        <v>1976</v>
      </c>
      <c r="AS200" s="92" t="s">
        <v>1977</v>
      </c>
      <c r="AT200" s="79"/>
      <c r="AU200" s="79"/>
      <c r="AV200" s="92" t="e">
        <f>VLOOKUP(I200, Kiegészítő_Mátrix!C:E, 3, FALSE)</f>
        <v>#N/A</v>
      </c>
    </row>
    <row r="201" spans="1:48" x14ac:dyDescent="0.3">
      <c r="A201" s="79"/>
      <c r="B201" s="79"/>
      <c r="C201" s="79"/>
      <c r="D201" s="80"/>
      <c r="E201" s="81"/>
      <c r="F201" s="80"/>
      <c r="G201" s="80"/>
      <c r="H201" s="81"/>
      <c r="I201" s="83"/>
      <c r="J201" s="79"/>
      <c r="K201" s="79"/>
      <c r="L201" s="84"/>
      <c r="M201" s="85"/>
      <c r="N201" s="86"/>
      <c r="O201" s="87"/>
      <c r="P201" s="91"/>
      <c r="Q201" s="84"/>
      <c r="R201" s="89"/>
      <c r="S201" s="90"/>
      <c r="T201" s="79"/>
      <c r="U201" s="79"/>
      <c r="V201" s="79"/>
      <c r="W201" s="79"/>
      <c r="X201" s="79"/>
      <c r="Y201" s="79"/>
      <c r="Z201" s="91"/>
      <c r="AA201" s="91"/>
      <c r="AB201" s="91"/>
      <c r="AC201" s="79"/>
      <c r="AD201" s="79"/>
      <c r="AE201" s="79"/>
      <c r="AF201" s="92"/>
      <c r="AG201" s="92"/>
      <c r="AH201" s="79"/>
      <c r="AI201" s="79"/>
      <c r="AJ201" s="92"/>
      <c r="AK201" s="79"/>
      <c r="AL201" s="79"/>
      <c r="AM201" s="92"/>
      <c r="AN201" s="92"/>
      <c r="AO201" s="92"/>
      <c r="AP201" s="92"/>
      <c r="AQ201" s="92"/>
      <c r="AR201" s="92"/>
      <c r="AS201" s="92"/>
      <c r="AT201" s="79"/>
      <c r="AU201" s="79"/>
      <c r="AV201" s="92" t="e">
        <f>VLOOKUP(I201, Kiegészítő_Mátrix!C:E, 3, FALSE)</f>
        <v>#N/A</v>
      </c>
    </row>
    <row r="202" spans="1:48" ht="30" customHeight="1" x14ac:dyDescent="0.3">
      <c r="A202" s="79"/>
      <c r="B202" s="79" t="s">
        <v>368</v>
      </c>
      <c r="C202" s="79" t="s">
        <v>163</v>
      </c>
      <c r="D202" s="80" t="s">
        <v>250</v>
      </c>
      <c r="E202" s="81" t="s">
        <v>1018</v>
      </c>
      <c r="F202" s="80" t="s">
        <v>1020</v>
      </c>
      <c r="G202" s="128" t="s">
        <v>1021</v>
      </c>
      <c r="H202" s="81" t="s">
        <v>1032</v>
      </c>
      <c r="I202" s="131" t="s">
        <v>1036</v>
      </c>
      <c r="J202" s="126" t="s">
        <v>1028</v>
      </c>
      <c r="K202" s="126" t="s">
        <v>2158</v>
      </c>
      <c r="L202" s="84" t="s">
        <v>4</v>
      </c>
      <c r="M202" s="85">
        <v>12700</v>
      </c>
      <c r="N202" s="86" t="s">
        <v>17</v>
      </c>
      <c r="O202" s="87">
        <v>45597</v>
      </c>
      <c r="P202" s="91" t="s">
        <v>1094</v>
      </c>
      <c r="Q202" s="84" t="s">
        <v>5</v>
      </c>
      <c r="R202" s="89" t="s">
        <v>2182</v>
      </c>
      <c r="S202" s="89" t="s">
        <v>2183</v>
      </c>
      <c r="T202" s="79"/>
      <c r="U202" s="79"/>
      <c r="V202" s="79"/>
      <c r="W202" s="79"/>
      <c r="X202" s="79"/>
      <c r="Y202" s="79"/>
      <c r="Z202" s="91"/>
      <c r="AA202" s="91"/>
      <c r="AB202" s="91"/>
      <c r="AC202" s="79"/>
      <c r="AD202" s="79"/>
      <c r="AE202" s="79"/>
      <c r="AF202" s="92"/>
      <c r="AG202" s="92"/>
      <c r="AH202" s="79"/>
      <c r="AI202" s="79"/>
      <c r="AJ202" s="92"/>
      <c r="AK202" s="79"/>
      <c r="AL202" s="79"/>
      <c r="AM202" s="92"/>
      <c r="AN202" s="92"/>
      <c r="AO202" s="92"/>
      <c r="AP202" s="92"/>
      <c r="AQ202" s="92" t="s">
        <v>1909</v>
      </c>
      <c r="AR202" s="92" t="s">
        <v>1910</v>
      </c>
      <c r="AS202" s="92" t="s">
        <v>1911</v>
      </c>
      <c r="AT202" s="79"/>
      <c r="AU202" s="79"/>
      <c r="AV202" s="92" t="str">
        <f>VLOOKUP(I202, Kiegészítő_Mátrix!C:E, 3, FALSE)</f>
        <v>Cara FullFace kiegészítők</v>
      </c>
    </row>
    <row r="203" spans="1:48" ht="30" customHeight="1" x14ac:dyDescent="0.3">
      <c r="A203" s="79"/>
      <c r="B203" s="79" t="s">
        <v>368</v>
      </c>
      <c r="C203" s="79" t="s">
        <v>163</v>
      </c>
      <c r="D203" s="80" t="s">
        <v>250</v>
      </c>
      <c r="E203" s="81" t="s">
        <v>1018</v>
      </c>
      <c r="F203" s="80" t="s">
        <v>1020</v>
      </c>
      <c r="G203" s="128" t="s">
        <v>1021</v>
      </c>
      <c r="H203" s="81" t="s">
        <v>1033</v>
      </c>
      <c r="I203" s="80" t="s">
        <v>1037</v>
      </c>
      <c r="J203" s="79" t="s">
        <v>1029</v>
      </c>
      <c r="K203" s="79" t="s">
        <v>2158</v>
      </c>
      <c r="L203" s="84" t="s">
        <v>4</v>
      </c>
      <c r="M203" s="85">
        <v>19685</v>
      </c>
      <c r="N203" s="86" t="s">
        <v>17</v>
      </c>
      <c r="O203" s="87">
        <v>45658</v>
      </c>
      <c r="P203" s="86" t="s">
        <v>1094</v>
      </c>
      <c r="Q203" s="84" t="s">
        <v>17</v>
      </c>
      <c r="R203" s="89" t="s">
        <v>2184</v>
      </c>
      <c r="S203" s="89" t="s">
        <v>2185</v>
      </c>
      <c r="T203" s="79"/>
      <c r="U203" s="79"/>
      <c r="V203" s="79"/>
      <c r="W203" s="79"/>
      <c r="X203" s="79"/>
      <c r="Y203" s="79"/>
      <c r="Z203" s="91"/>
      <c r="AA203" s="91"/>
      <c r="AB203" s="91"/>
      <c r="AC203" s="79"/>
      <c r="AD203" s="79"/>
      <c r="AE203" s="79"/>
      <c r="AF203" s="92"/>
      <c r="AG203" s="92"/>
      <c r="AH203" s="79"/>
      <c r="AI203" s="79"/>
      <c r="AJ203" s="92"/>
      <c r="AK203" s="79"/>
      <c r="AL203" s="79"/>
      <c r="AM203" s="92"/>
      <c r="AN203" s="92"/>
      <c r="AO203" s="92"/>
      <c r="AP203" s="92"/>
      <c r="AQ203" s="92" t="s">
        <v>1912</v>
      </c>
      <c r="AR203" s="92" t="s">
        <v>1913</v>
      </c>
      <c r="AS203" s="92" t="s">
        <v>1914</v>
      </c>
      <c r="AT203" s="79"/>
      <c r="AU203" s="79"/>
      <c r="AV203" s="92" t="str">
        <f>VLOOKUP(I203, Kiegészítő_Mátrix!C:E, 3, FALSE)</f>
        <v>Joyce Easy FullFace kiegészítők</v>
      </c>
    </row>
    <row r="204" spans="1:48" ht="30" customHeight="1" x14ac:dyDescent="0.3">
      <c r="A204" s="79"/>
      <c r="B204" s="79" t="s">
        <v>368</v>
      </c>
      <c r="C204" s="79" t="s">
        <v>163</v>
      </c>
      <c r="D204" s="80" t="s">
        <v>250</v>
      </c>
      <c r="E204" s="81" t="s">
        <v>1018</v>
      </c>
      <c r="F204" s="80" t="s">
        <v>1020</v>
      </c>
      <c r="G204" s="128" t="s">
        <v>1021</v>
      </c>
      <c r="H204" s="81" t="s">
        <v>1034</v>
      </c>
      <c r="I204" s="80" t="s">
        <v>1038</v>
      </c>
      <c r="J204" s="79" t="s">
        <v>1030</v>
      </c>
      <c r="K204" s="79" t="s">
        <v>2158</v>
      </c>
      <c r="L204" s="84" t="s">
        <v>4</v>
      </c>
      <c r="M204" s="85">
        <v>19685</v>
      </c>
      <c r="N204" s="86" t="s">
        <v>17</v>
      </c>
      <c r="O204" s="87">
        <v>45962</v>
      </c>
      <c r="P204" s="86" t="s">
        <v>1094</v>
      </c>
      <c r="Q204" s="84" t="s">
        <v>17</v>
      </c>
      <c r="R204" s="89" t="s">
        <v>1054</v>
      </c>
      <c r="S204" s="89" t="s">
        <v>1055</v>
      </c>
      <c r="T204" s="79"/>
      <c r="U204" s="79"/>
      <c r="V204" s="79"/>
      <c r="W204" s="79"/>
      <c r="X204" s="79"/>
      <c r="Y204" s="79"/>
      <c r="Z204" s="91"/>
      <c r="AA204" s="91"/>
      <c r="AB204" s="91"/>
      <c r="AC204" s="79"/>
      <c r="AD204" s="79"/>
      <c r="AE204" s="79"/>
      <c r="AF204" s="92"/>
      <c r="AG204" s="92"/>
      <c r="AH204" s="79"/>
      <c r="AI204" s="79"/>
      <c r="AJ204" s="92"/>
      <c r="AK204" s="79"/>
      <c r="AL204" s="79"/>
      <c r="AM204" s="92"/>
      <c r="AN204" s="92"/>
      <c r="AO204" s="92"/>
      <c r="AP204" s="92"/>
      <c r="AQ204" s="92" t="s">
        <v>1915</v>
      </c>
      <c r="AR204" s="92" t="s">
        <v>1916</v>
      </c>
      <c r="AS204" s="92" t="s">
        <v>1917</v>
      </c>
      <c r="AT204" s="79"/>
      <c r="AU204" s="79"/>
      <c r="AV204" s="92" t="str">
        <f>VLOOKUP(I204, Kiegészítő_Mátrix!C:E, 3, FALSE)</f>
        <v>Joyce Easy NEXT FullFace kiegészítők</v>
      </c>
    </row>
    <row r="205" spans="1:48" ht="30" customHeight="1" x14ac:dyDescent="0.3">
      <c r="A205" s="79"/>
      <c r="B205" s="79" t="s">
        <v>368</v>
      </c>
      <c r="C205" s="79" t="s">
        <v>163</v>
      </c>
      <c r="D205" s="80" t="s">
        <v>250</v>
      </c>
      <c r="E205" s="81" t="s">
        <v>1018</v>
      </c>
      <c r="F205" s="80" t="s">
        <v>1020</v>
      </c>
      <c r="G205" s="128" t="s">
        <v>1021</v>
      </c>
      <c r="H205" s="81" t="s">
        <v>1035</v>
      </c>
      <c r="I205" s="131" t="s">
        <v>1039</v>
      </c>
      <c r="J205" s="126" t="s">
        <v>1031</v>
      </c>
      <c r="K205" s="126" t="s">
        <v>2158</v>
      </c>
      <c r="L205" s="84" t="s">
        <v>4</v>
      </c>
      <c r="M205" s="85"/>
      <c r="N205" s="86" t="s">
        <v>17</v>
      </c>
      <c r="O205" s="87"/>
      <c r="P205" s="91" t="s">
        <v>1094</v>
      </c>
      <c r="Q205" s="84" t="s">
        <v>17</v>
      </c>
      <c r="R205" s="89" t="s">
        <v>2186</v>
      </c>
      <c r="S205" s="89" t="s">
        <v>2187</v>
      </c>
      <c r="T205" s="79"/>
      <c r="U205" s="79"/>
      <c r="V205" s="79"/>
      <c r="W205" s="79"/>
      <c r="X205" s="79"/>
      <c r="Y205" s="79"/>
      <c r="Z205" s="91"/>
      <c r="AA205" s="91"/>
      <c r="AB205" s="91"/>
      <c r="AC205" s="79"/>
      <c r="AD205" s="79"/>
      <c r="AE205" s="79"/>
      <c r="AF205" s="92"/>
      <c r="AG205" s="92"/>
      <c r="AH205" s="79"/>
      <c r="AI205" s="79"/>
      <c r="AJ205" s="92"/>
      <c r="AK205" s="79"/>
      <c r="AL205" s="79"/>
      <c r="AM205" s="92"/>
      <c r="AN205" s="92"/>
      <c r="AO205" s="92"/>
      <c r="AP205" s="92"/>
      <c r="AQ205" s="92" t="s">
        <v>1979</v>
      </c>
      <c r="AR205" s="92" t="s">
        <v>1980</v>
      </c>
      <c r="AS205" s="92" t="s">
        <v>1981</v>
      </c>
      <c r="AT205" s="79"/>
      <c r="AU205" s="79"/>
      <c r="AV205" s="92" t="str">
        <f>VLOOKUP(I205, Kiegészítő_Mátrix!C:E, 3, FALSE)</f>
        <v>Joyce ONE FullFace kiegészítők</v>
      </c>
    </row>
    <row r="206" spans="1:48" ht="30" customHeight="1" x14ac:dyDescent="0.3">
      <c r="A206" s="79"/>
      <c r="B206" s="79" t="s">
        <v>368</v>
      </c>
      <c r="C206" s="79" t="s">
        <v>163</v>
      </c>
      <c r="D206" s="80" t="s">
        <v>250</v>
      </c>
      <c r="E206" s="81" t="s">
        <v>1018</v>
      </c>
      <c r="F206" s="80" t="s">
        <v>1020</v>
      </c>
      <c r="G206" s="128" t="s">
        <v>1021</v>
      </c>
      <c r="H206" s="81" t="s">
        <v>817</v>
      </c>
      <c r="I206" s="80" t="s">
        <v>283</v>
      </c>
      <c r="J206" s="81" t="s">
        <v>284</v>
      </c>
      <c r="K206" s="81" t="s">
        <v>2158</v>
      </c>
      <c r="L206" s="84" t="s">
        <v>4</v>
      </c>
      <c r="M206" s="85">
        <v>19685</v>
      </c>
      <c r="N206" s="86" t="s">
        <v>17</v>
      </c>
      <c r="O206" s="87"/>
      <c r="P206" s="91" t="s">
        <v>1094</v>
      </c>
      <c r="Q206" s="84" t="s">
        <v>17</v>
      </c>
      <c r="R206" s="89" t="s">
        <v>1056</v>
      </c>
      <c r="S206" s="90" t="s">
        <v>1057</v>
      </c>
      <c r="T206" s="79"/>
      <c r="U206" s="79"/>
      <c r="V206" s="79"/>
      <c r="W206" s="79"/>
      <c r="X206" s="79"/>
      <c r="Y206" s="79"/>
      <c r="Z206" s="91"/>
      <c r="AA206" s="91"/>
      <c r="AB206" s="91"/>
      <c r="AC206" s="79"/>
      <c r="AD206" s="79"/>
      <c r="AE206" s="79"/>
      <c r="AF206" s="92"/>
      <c r="AG206" s="92"/>
      <c r="AH206" s="79"/>
      <c r="AI206" s="79"/>
      <c r="AJ206" s="92"/>
      <c r="AK206" s="79"/>
      <c r="AL206" s="79"/>
      <c r="AM206" s="92"/>
      <c r="AN206" s="92"/>
      <c r="AO206" s="92"/>
      <c r="AP206" s="92"/>
      <c r="AQ206" s="92" t="s">
        <v>1918</v>
      </c>
      <c r="AR206" s="92" t="s">
        <v>1919</v>
      </c>
      <c r="AS206" s="92" t="s">
        <v>1920</v>
      </c>
      <c r="AT206" s="79"/>
      <c r="AU206" s="79"/>
      <c r="AV206" s="92" t="str">
        <f>VLOOKUP(I206, Kiegészítő_Mátrix!C:E, 3, FALSE)</f>
        <v>Lena FullFace kiegészítők</v>
      </c>
    </row>
    <row r="207" spans="1:48" s="10" customFormat="1" ht="30" customHeight="1" x14ac:dyDescent="0.3">
      <c r="A207" s="118"/>
      <c r="B207" s="118" t="s">
        <v>368</v>
      </c>
      <c r="C207" s="118" t="s">
        <v>163</v>
      </c>
      <c r="D207" s="117" t="s">
        <v>250</v>
      </c>
      <c r="E207" s="81" t="s">
        <v>1018</v>
      </c>
      <c r="F207" s="80" t="s">
        <v>1020</v>
      </c>
      <c r="G207" s="128" t="s">
        <v>1021</v>
      </c>
      <c r="H207" s="138" t="s">
        <v>806</v>
      </c>
      <c r="I207" s="131" t="s">
        <v>1417</v>
      </c>
      <c r="J207" s="126" t="s">
        <v>261</v>
      </c>
      <c r="K207" s="126"/>
      <c r="L207" s="84" t="s">
        <v>16</v>
      </c>
      <c r="M207" s="140"/>
      <c r="N207" s="95" t="s">
        <v>17</v>
      </c>
      <c r="O207" s="96"/>
      <c r="P207" s="88" t="s">
        <v>597</v>
      </c>
      <c r="Q207" s="119" t="s">
        <v>17</v>
      </c>
      <c r="R207" s="166" t="s">
        <v>2188</v>
      </c>
      <c r="S207" s="167" t="s">
        <v>2189</v>
      </c>
      <c r="T207" s="118"/>
      <c r="U207" s="118"/>
      <c r="V207" s="118"/>
      <c r="W207" s="118"/>
      <c r="X207" s="118"/>
      <c r="Y207" s="118"/>
      <c r="Z207" s="143"/>
      <c r="AA207" s="143"/>
      <c r="AB207" s="143"/>
      <c r="AC207" s="118"/>
      <c r="AD207" s="118"/>
      <c r="AE207" s="118"/>
      <c r="AF207" s="145"/>
      <c r="AG207" s="145"/>
      <c r="AH207" s="118"/>
      <c r="AI207" s="118"/>
      <c r="AJ207" s="145"/>
      <c r="AK207" s="118"/>
      <c r="AL207" s="118"/>
      <c r="AM207" s="145"/>
      <c r="AN207" s="145"/>
      <c r="AO207" s="145"/>
      <c r="AP207" s="145"/>
      <c r="AQ207" s="92" t="s">
        <v>1982</v>
      </c>
      <c r="AR207" s="92" t="s">
        <v>1983</v>
      </c>
      <c r="AS207" s="92" t="s">
        <v>1984</v>
      </c>
      <c r="AT207" s="118"/>
      <c r="AU207" s="118"/>
      <c r="AV207" s="145" t="e">
        <f>VLOOKUP(I207, Kiegészítő_Mátrix!C:E, 3, FALSE)</f>
        <v>#N/A</v>
      </c>
    </row>
    <row r="208" spans="1:48" ht="30" customHeight="1" x14ac:dyDescent="0.3">
      <c r="A208" s="79"/>
      <c r="B208" s="79" t="s">
        <v>368</v>
      </c>
      <c r="C208" s="79" t="s">
        <v>163</v>
      </c>
      <c r="D208" s="80" t="s">
        <v>250</v>
      </c>
      <c r="E208" s="81" t="s">
        <v>1018</v>
      </c>
      <c r="F208" s="80" t="s">
        <v>1020</v>
      </c>
      <c r="G208" s="128" t="s">
        <v>1021</v>
      </c>
      <c r="H208" s="81" t="s">
        <v>806</v>
      </c>
      <c r="I208" s="123">
        <v>1090297</v>
      </c>
      <c r="J208" s="100" t="s">
        <v>1413</v>
      </c>
      <c r="K208" s="100" t="s">
        <v>2158</v>
      </c>
      <c r="L208" s="84" t="s">
        <v>16</v>
      </c>
      <c r="M208" s="120">
        <v>17780</v>
      </c>
      <c r="N208" s="86" t="s">
        <v>17</v>
      </c>
      <c r="O208" s="87">
        <v>43101</v>
      </c>
      <c r="P208" s="91" t="s">
        <v>1094</v>
      </c>
      <c r="Q208" s="84" t="s">
        <v>17</v>
      </c>
      <c r="R208" s="89" t="s">
        <v>1106</v>
      </c>
      <c r="S208" s="90" t="s">
        <v>1107</v>
      </c>
      <c r="T208" s="79"/>
      <c r="U208" s="79"/>
      <c r="V208" s="79"/>
      <c r="W208" s="79"/>
      <c r="X208" s="79"/>
      <c r="Y208" s="79"/>
      <c r="Z208" s="91"/>
      <c r="AA208" s="91"/>
      <c r="AB208" s="91"/>
      <c r="AC208" s="79"/>
      <c r="AD208" s="79"/>
      <c r="AE208" s="79"/>
      <c r="AF208" s="92"/>
      <c r="AG208" s="92"/>
      <c r="AH208" s="79"/>
      <c r="AI208" s="79"/>
      <c r="AJ208" s="92"/>
      <c r="AK208" s="79"/>
      <c r="AL208" s="79"/>
      <c r="AM208" s="92"/>
      <c r="AN208" s="92"/>
      <c r="AO208" s="92"/>
      <c r="AP208" s="92"/>
      <c r="AQ208" s="92" t="s">
        <v>1921</v>
      </c>
      <c r="AR208" s="92" t="s">
        <v>1922</v>
      </c>
      <c r="AS208" s="92" t="s">
        <v>1923</v>
      </c>
      <c r="AT208" s="79"/>
      <c r="AU208" s="79"/>
      <c r="AV208" s="92" t="str">
        <f>VLOOKUP(I208, Kiegészítő_Mátrix!C:E, 3, FALSE)</f>
        <v>Amara és Amara Gel FullFace kiegészítők</v>
      </c>
    </row>
    <row r="209" spans="1:48" s="10" customFormat="1" ht="30" customHeight="1" x14ac:dyDescent="0.3">
      <c r="A209" s="118"/>
      <c r="B209" s="118" t="s">
        <v>368</v>
      </c>
      <c r="C209" s="118" t="s">
        <v>163</v>
      </c>
      <c r="D209" s="117" t="s">
        <v>250</v>
      </c>
      <c r="E209" s="81" t="s">
        <v>1018</v>
      </c>
      <c r="F209" s="80" t="s">
        <v>1020</v>
      </c>
      <c r="G209" s="128" t="s">
        <v>1021</v>
      </c>
      <c r="H209" s="138" t="s">
        <v>800</v>
      </c>
      <c r="I209" s="131" t="s">
        <v>1418</v>
      </c>
      <c r="J209" s="126" t="s">
        <v>262</v>
      </c>
      <c r="K209" s="126"/>
      <c r="L209" s="84" t="s">
        <v>16</v>
      </c>
      <c r="M209" s="140"/>
      <c r="N209" s="95" t="s">
        <v>17</v>
      </c>
      <c r="O209" s="142"/>
      <c r="P209" s="143" t="s">
        <v>599</v>
      </c>
      <c r="Q209" s="119" t="s">
        <v>17</v>
      </c>
      <c r="R209" s="166" t="s">
        <v>2190</v>
      </c>
      <c r="S209" s="167" t="s">
        <v>2191</v>
      </c>
      <c r="T209" s="118"/>
      <c r="U209" s="118"/>
      <c r="V209" s="118"/>
      <c r="W209" s="118"/>
      <c r="X209" s="118"/>
      <c r="Y209" s="118"/>
      <c r="Z209" s="143"/>
      <c r="AA209" s="143"/>
      <c r="AB209" s="143"/>
      <c r="AC209" s="118"/>
      <c r="AD209" s="118"/>
      <c r="AE209" s="118"/>
      <c r="AF209" s="145"/>
      <c r="AG209" s="145"/>
      <c r="AH209" s="118"/>
      <c r="AI209" s="118"/>
      <c r="AJ209" s="145"/>
      <c r="AK209" s="118"/>
      <c r="AL209" s="118"/>
      <c r="AM209" s="145"/>
      <c r="AN209" s="145"/>
      <c r="AO209" s="145"/>
      <c r="AP209" s="145"/>
      <c r="AQ209" s="92" t="s">
        <v>1985</v>
      </c>
      <c r="AR209" s="92" t="s">
        <v>1986</v>
      </c>
      <c r="AS209" s="92" t="s">
        <v>1987</v>
      </c>
      <c r="AT209" s="118"/>
      <c r="AU209" s="118"/>
      <c r="AV209" s="145" t="e">
        <f>VLOOKUP(I209, Kiegészítő_Mátrix!C:E, 3, FALSE)</f>
        <v>#N/A</v>
      </c>
    </row>
    <row r="210" spans="1:48" ht="30" customHeight="1" x14ac:dyDescent="0.3">
      <c r="A210" s="79"/>
      <c r="B210" s="79" t="s">
        <v>368</v>
      </c>
      <c r="C210" s="79" t="s">
        <v>163</v>
      </c>
      <c r="D210" s="80" t="s">
        <v>250</v>
      </c>
      <c r="E210" s="81" t="s">
        <v>1018</v>
      </c>
      <c r="F210" s="80" t="s">
        <v>1020</v>
      </c>
      <c r="G210" s="128" t="s">
        <v>1021</v>
      </c>
      <c r="H210" s="81" t="s">
        <v>800</v>
      </c>
      <c r="I210" s="80" t="s">
        <v>1412</v>
      </c>
      <c r="J210" s="79" t="s">
        <v>263</v>
      </c>
      <c r="K210" s="79" t="s">
        <v>2158</v>
      </c>
      <c r="L210" s="84" t="s">
        <v>16</v>
      </c>
      <c r="M210" s="85">
        <v>17780</v>
      </c>
      <c r="N210" s="86" t="s">
        <v>17</v>
      </c>
      <c r="O210" s="87">
        <v>43709</v>
      </c>
      <c r="P210" s="91" t="s">
        <v>1094</v>
      </c>
      <c r="Q210" s="84" t="s">
        <v>5</v>
      </c>
      <c r="R210" s="89" t="s">
        <v>1108</v>
      </c>
      <c r="S210" s="90" t="s">
        <v>1109</v>
      </c>
      <c r="T210" s="79"/>
      <c r="U210" s="79"/>
      <c r="V210" s="79"/>
      <c r="W210" s="79"/>
      <c r="X210" s="79"/>
      <c r="Y210" s="79"/>
      <c r="Z210" s="91"/>
      <c r="AA210" s="91"/>
      <c r="AB210" s="91"/>
      <c r="AC210" s="79"/>
      <c r="AD210" s="79"/>
      <c r="AE210" s="79"/>
      <c r="AF210" s="92"/>
      <c r="AG210" s="92"/>
      <c r="AH210" s="79"/>
      <c r="AI210" s="79"/>
      <c r="AJ210" s="92"/>
      <c r="AK210" s="79"/>
      <c r="AL210" s="79"/>
      <c r="AM210" s="92"/>
      <c r="AN210" s="92"/>
      <c r="AO210" s="92"/>
      <c r="AP210" s="92"/>
      <c r="AQ210" s="92" t="s">
        <v>1924</v>
      </c>
      <c r="AR210" s="92" t="s">
        <v>1925</v>
      </c>
      <c r="AS210" s="92" t="s">
        <v>1926</v>
      </c>
      <c r="AT210" s="79"/>
      <c r="AU210" s="79"/>
      <c r="AV210" s="92" t="e">
        <f>VLOOKUP(I210, Kiegészítő_Mátrix!C:E, 3, FALSE)</f>
        <v>#N/A</v>
      </c>
    </row>
    <row r="211" spans="1:48" ht="30" customHeight="1" x14ac:dyDescent="0.3">
      <c r="A211" s="79"/>
      <c r="B211" s="79" t="s">
        <v>368</v>
      </c>
      <c r="C211" s="79" t="s">
        <v>163</v>
      </c>
      <c r="D211" s="80" t="s">
        <v>250</v>
      </c>
      <c r="E211" s="81" t="s">
        <v>1018</v>
      </c>
      <c r="F211" s="80" t="s">
        <v>1020</v>
      </c>
      <c r="G211" s="128" t="s">
        <v>1021</v>
      </c>
      <c r="H211" s="81" t="s">
        <v>800</v>
      </c>
      <c r="I211" s="131" t="s">
        <v>1419</v>
      </c>
      <c r="J211" s="126" t="s">
        <v>264</v>
      </c>
      <c r="K211" s="126"/>
      <c r="L211" s="84" t="s">
        <v>16</v>
      </c>
      <c r="M211" s="120"/>
      <c r="N211" s="86" t="s">
        <v>17</v>
      </c>
      <c r="O211" s="87"/>
      <c r="P211" s="91"/>
      <c r="Q211" s="84" t="s">
        <v>17</v>
      </c>
      <c r="R211" s="89" t="s">
        <v>2192</v>
      </c>
      <c r="S211" s="90" t="s">
        <v>2193</v>
      </c>
      <c r="T211" s="79"/>
      <c r="U211" s="79"/>
      <c r="V211" s="79"/>
      <c r="W211" s="79"/>
      <c r="X211" s="79"/>
      <c r="Y211" s="79"/>
      <c r="Z211" s="91"/>
      <c r="AA211" s="91"/>
      <c r="AB211" s="91"/>
      <c r="AC211" s="79"/>
      <c r="AD211" s="79"/>
      <c r="AE211" s="79"/>
      <c r="AF211" s="92"/>
      <c r="AG211" s="92"/>
      <c r="AH211" s="79"/>
      <c r="AI211" s="79"/>
      <c r="AJ211" s="92"/>
      <c r="AK211" s="79"/>
      <c r="AL211" s="79"/>
      <c r="AM211" s="92"/>
      <c r="AN211" s="92"/>
      <c r="AO211" s="92"/>
      <c r="AP211" s="92"/>
      <c r="AQ211" s="92" t="s">
        <v>1988</v>
      </c>
      <c r="AR211" s="92" t="s">
        <v>1989</v>
      </c>
      <c r="AS211" s="92" t="s">
        <v>1990</v>
      </c>
      <c r="AT211" s="79"/>
      <c r="AU211" s="79"/>
      <c r="AV211" s="92" t="e">
        <f>VLOOKUP(I211, Kiegészítő_Mátrix!C:E, 3, FALSE)</f>
        <v>#N/A</v>
      </c>
    </row>
    <row r="212" spans="1:48" ht="30" customHeight="1" x14ac:dyDescent="0.3">
      <c r="A212" s="79"/>
      <c r="B212" s="79" t="s">
        <v>368</v>
      </c>
      <c r="C212" s="79" t="s">
        <v>163</v>
      </c>
      <c r="D212" s="80" t="s">
        <v>250</v>
      </c>
      <c r="E212" s="81" t="s">
        <v>1018</v>
      </c>
      <c r="F212" s="80" t="s">
        <v>1020</v>
      </c>
      <c r="G212" s="128" t="s">
        <v>1021</v>
      </c>
      <c r="H212" s="81" t="s">
        <v>801</v>
      </c>
      <c r="I212" s="123">
        <v>1133450</v>
      </c>
      <c r="J212" s="100" t="s">
        <v>281</v>
      </c>
      <c r="K212" s="100" t="s">
        <v>2158</v>
      </c>
      <c r="L212" s="159" t="s">
        <v>16</v>
      </c>
      <c r="M212" s="160">
        <v>17780</v>
      </c>
      <c r="N212" s="86" t="s">
        <v>17</v>
      </c>
      <c r="O212" s="87">
        <v>44927</v>
      </c>
      <c r="P212" s="91" t="s">
        <v>1094</v>
      </c>
      <c r="Q212" s="84" t="s">
        <v>17</v>
      </c>
      <c r="R212" s="89" t="s">
        <v>1110</v>
      </c>
      <c r="S212" s="90" t="s">
        <v>1111</v>
      </c>
      <c r="T212" s="79"/>
      <c r="U212" s="79"/>
      <c r="V212" s="79"/>
      <c r="W212" s="79"/>
      <c r="X212" s="79"/>
      <c r="Y212" s="79"/>
      <c r="Z212" s="91"/>
      <c r="AA212" s="91"/>
      <c r="AB212" s="91"/>
      <c r="AC212" s="79"/>
      <c r="AD212" s="79"/>
      <c r="AE212" s="79"/>
      <c r="AF212" s="92"/>
      <c r="AG212" s="92"/>
      <c r="AH212" s="79"/>
      <c r="AI212" s="79"/>
      <c r="AJ212" s="92"/>
      <c r="AK212" s="79"/>
      <c r="AL212" s="79"/>
      <c r="AM212" s="92"/>
      <c r="AN212" s="92"/>
      <c r="AO212" s="92"/>
      <c r="AP212" s="92"/>
      <c r="AQ212" s="92" t="s">
        <v>1927</v>
      </c>
      <c r="AR212" s="92" t="s">
        <v>1928</v>
      </c>
      <c r="AS212" s="92" t="s">
        <v>1929</v>
      </c>
      <c r="AT212" s="79"/>
      <c r="AU212" s="79"/>
      <c r="AV212" s="92" t="str">
        <f>VLOOKUP(I212, Kiegészítő_Mátrix!C:E, 3, FALSE)</f>
        <v>DreamWear FullFace kiegészítők</v>
      </c>
    </row>
    <row r="213" spans="1:48" ht="30" customHeight="1" x14ac:dyDescent="0.3">
      <c r="A213" s="79"/>
      <c r="B213" s="79" t="s">
        <v>368</v>
      </c>
      <c r="C213" s="79" t="s">
        <v>163</v>
      </c>
      <c r="D213" s="80" t="s">
        <v>250</v>
      </c>
      <c r="E213" s="81" t="s">
        <v>1018</v>
      </c>
      <c r="F213" s="80" t="s">
        <v>1020</v>
      </c>
      <c r="G213" s="128" t="s">
        <v>1021</v>
      </c>
      <c r="H213" s="81" t="s">
        <v>801</v>
      </c>
      <c r="I213" s="162">
        <v>1133454</v>
      </c>
      <c r="J213" s="126" t="s">
        <v>282</v>
      </c>
      <c r="K213" s="126"/>
      <c r="L213" s="159" t="s">
        <v>16</v>
      </c>
      <c r="M213" s="120"/>
      <c r="N213" s="86" t="s">
        <v>17</v>
      </c>
      <c r="O213" s="87"/>
      <c r="P213" s="91" t="s">
        <v>1094</v>
      </c>
      <c r="Q213" s="84" t="s">
        <v>17</v>
      </c>
      <c r="R213" s="89" t="s">
        <v>2194</v>
      </c>
      <c r="S213" s="90" t="s">
        <v>2195</v>
      </c>
      <c r="T213" s="79"/>
      <c r="U213" s="79"/>
      <c r="V213" s="79"/>
      <c r="W213" s="79"/>
      <c r="X213" s="79"/>
      <c r="Y213" s="79"/>
      <c r="Z213" s="91"/>
      <c r="AA213" s="91"/>
      <c r="AB213" s="91"/>
      <c r="AC213" s="79"/>
      <c r="AD213" s="79"/>
      <c r="AE213" s="79"/>
      <c r="AF213" s="92"/>
      <c r="AG213" s="92"/>
      <c r="AH213" s="79"/>
      <c r="AI213" s="79"/>
      <c r="AJ213" s="92"/>
      <c r="AK213" s="79"/>
      <c r="AL213" s="79"/>
      <c r="AM213" s="92"/>
      <c r="AN213" s="92"/>
      <c r="AO213" s="92"/>
      <c r="AP213" s="92"/>
      <c r="AQ213" s="92" t="s">
        <v>2196</v>
      </c>
      <c r="AR213" s="92" t="s">
        <v>2197</v>
      </c>
      <c r="AS213" s="92" t="s">
        <v>2198</v>
      </c>
      <c r="AT213" s="79"/>
      <c r="AU213" s="79"/>
      <c r="AV213" s="92" t="e">
        <f>VLOOKUP(I213, Kiegészítő_Mátrix!C:E, 3, FALSE)</f>
        <v>#N/A</v>
      </c>
    </row>
    <row r="214" spans="1:48" x14ac:dyDescent="0.3">
      <c r="A214" s="79"/>
      <c r="B214" s="79"/>
      <c r="C214" s="79"/>
      <c r="D214" s="98"/>
      <c r="E214" s="83"/>
      <c r="F214" s="98"/>
      <c r="G214" s="98"/>
      <c r="H214" s="81"/>
      <c r="I214" s="83"/>
      <c r="J214" s="126"/>
      <c r="K214" s="126"/>
      <c r="L214" s="84"/>
      <c r="M214" s="120"/>
      <c r="N214" s="86"/>
      <c r="O214" s="87"/>
      <c r="P214" s="91"/>
      <c r="Q214" s="84"/>
      <c r="R214" s="89"/>
      <c r="S214" s="90"/>
      <c r="T214" s="79"/>
      <c r="U214" s="79"/>
      <c r="V214" s="79"/>
      <c r="W214" s="79"/>
      <c r="X214" s="79"/>
      <c r="Y214" s="79"/>
      <c r="Z214" s="91"/>
      <c r="AA214" s="91"/>
      <c r="AB214" s="91"/>
      <c r="AC214" s="79"/>
      <c r="AD214" s="79"/>
      <c r="AE214" s="79"/>
      <c r="AF214" s="92"/>
      <c r="AG214" s="92"/>
      <c r="AH214" s="79"/>
      <c r="AI214" s="79"/>
      <c r="AJ214" s="92"/>
      <c r="AK214" s="79"/>
      <c r="AL214" s="79"/>
      <c r="AM214" s="92"/>
      <c r="AN214" s="92"/>
      <c r="AO214" s="92"/>
      <c r="AP214" s="92"/>
      <c r="AQ214" s="92"/>
      <c r="AR214" s="92"/>
      <c r="AS214" s="92"/>
      <c r="AT214" s="79"/>
      <c r="AU214" s="79"/>
      <c r="AV214" s="92" t="e">
        <f>VLOOKUP(I214, Kiegészítő_Mátrix!C:E, 3, FALSE)</f>
        <v>#N/A</v>
      </c>
    </row>
    <row r="215" spans="1:48" ht="30" customHeight="1" x14ac:dyDescent="0.3">
      <c r="A215" s="79"/>
      <c r="B215" s="79" t="s">
        <v>368</v>
      </c>
      <c r="C215" s="79" t="s">
        <v>163</v>
      </c>
      <c r="D215" s="80" t="s">
        <v>285</v>
      </c>
      <c r="E215" s="81" t="s">
        <v>1040</v>
      </c>
      <c r="F215" s="80" t="s">
        <v>1191</v>
      </c>
      <c r="G215" s="128" t="s">
        <v>1042</v>
      </c>
      <c r="H215" s="81" t="s">
        <v>795</v>
      </c>
      <c r="I215" s="80">
        <v>1116747</v>
      </c>
      <c r="J215" s="79" t="s">
        <v>266</v>
      </c>
      <c r="K215" s="79" t="s">
        <v>2158</v>
      </c>
      <c r="L215" s="84" t="s">
        <v>16</v>
      </c>
      <c r="M215" s="85">
        <v>23495</v>
      </c>
      <c r="N215" s="86" t="s">
        <v>17</v>
      </c>
      <c r="O215" s="87">
        <v>42491</v>
      </c>
      <c r="P215" s="91" t="s">
        <v>599</v>
      </c>
      <c r="Q215" s="84" t="s">
        <v>5</v>
      </c>
      <c r="R215" s="89" t="s">
        <v>1058</v>
      </c>
      <c r="S215" s="90" t="s">
        <v>1060</v>
      </c>
      <c r="T215" s="79"/>
      <c r="U215" s="79"/>
      <c r="V215" s="79"/>
      <c r="W215" s="79"/>
      <c r="X215" s="79"/>
      <c r="Y215" s="79"/>
      <c r="Z215" s="91"/>
      <c r="AA215" s="91"/>
      <c r="AB215" s="91"/>
      <c r="AC215" s="79"/>
      <c r="AD215" s="79"/>
      <c r="AE215" s="79"/>
      <c r="AF215" s="92"/>
      <c r="AG215" s="92"/>
      <c r="AH215" s="79"/>
      <c r="AI215" s="79"/>
      <c r="AJ215" s="92" t="s">
        <v>1061</v>
      </c>
      <c r="AK215" s="79"/>
      <c r="AL215" s="79" t="s">
        <v>507</v>
      </c>
      <c r="AM215" s="92" t="s">
        <v>409</v>
      </c>
      <c r="AN215" s="92" t="s">
        <v>1062</v>
      </c>
      <c r="AO215" s="92" t="s">
        <v>1063</v>
      </c>
      <c r="AP215" s="92"/>
      <c r="AQ215" s="92" t="s">
        <v>1991</v>
      </c>
      <c r="AR215" s="92" t="s">
        <v>1992</v>
      </c>
      <c r="AS215" s="92" t="s">
        <v>1993</v>
      </c>
      <c r="AT215" s="79"/>
      <c r="AU215" s="79"/>
      <c r="AV215" s="92" t="str">
        <f>VLOOKUP(I215, Kiegészítő_Mátrix!C:E, 3, FALSE)</f>
        <v>Dreamwear kiegészítők</v>
      </c>
    </row>
    <row r="216" spans="1:48" ht="30" customHeight="1" x14ac:dyDescent="0.3">
      <c r="A216" s="79"/>
      <c r="B216" s="79" t="s">
        <v>368</v>
      </c>
      <c r="C216" s="79" t="s">
        <v>163</v>
      </c>
      <c r="D216" s="80" t="s">
        <v>285</v>
      </c>
      <c r="E216" s="81" t="s">
        <v>1040</v>
      </c>
      <c r="F216" s="80" t="s">
        <v>1191</v>
      </c>
      <c r="G216" s="128" t="s">
        <v>1042</v>
      </c>
      <c r="H216" s="81" t="s">
        <v>795</v>
      </c>
      <c r="I216" s="80">
        <v>1116745</v>
      </c>
      <c r="J216" s="79" t="s">
        <v>267</v>
      </c>
      <c r="K216" s="79" t="s">
        <v>2158</v>
      </c>
      <c r="L216" s="84" t="s">
        <v>16</v>
      </c>
      <c r="M216" s="85">
        <v>23495</v>
      </c>
      <c r="N216" s="86" t="s">
        <v>17</v>
      </c>
      <c r="O216" s="87">
        <v>42491</v>
      </c>
      <c r="P216" s="91" t="s">
        <v>532</v>
      </c>
      <c r="Q216" s="84" t="s">
        <v>5</v>
      </c>
      <c r="R216" s="89" t="s">
        <v>1058</v>
      </c>
      <c r="S216" s="90" t="s">
        <v>1060</v>
      </c>
      <c r="T216" s="79"/>
      <c r="U216" s="79"/>
      <c r="V216" s="79"/>
      <c r="W216" s="79"/>
      <c r="X216" s="79"/>
      <c r="Y216" s="79"/>
      <c r="Z216" s="91"/>
      <c r="AA216" s="91"/>
      <c r="AB216" s="91"/>
      <c r="AC216" s="79"/>
      <c r="AD216" s="79"/>
      <c r="AE216" s="79"/>
      <c r="AF216" s="92"/>
      <c r="AG216" s="92"/>
      <c r="AH216" s="79"/>
      <c r="AI216" s="79"/>
      <c r="AJ216" s="92" t="s">
        <v>1061</v>
      </c>
      <c r="AK216" s="79"/>
      <c r="AL216" s="79" t="s">
        <v>507</v>
      </c>
      <c r="AM216" s="92" t="s">
        <v>409</v>
      </c>
      <c r="AN216" s="92" t="s">
        <v>1062</v>
      </c>
      <c r="AO216" s="92" t="s">
        <v>1063</v>
      </c>
      <c r="AP216" s="92"/>
      <c r="AQ216" s="92" t="s">
        <v>1994</v>
      </c>
      <c r="AR216" s="92" t="s">
        <v>1995</v>
      </c>
      <c r="AS216" s="92" t="s">
        <v>1996</v>
      </c>
      <c r="AT216" s="79"/>
      <c r="AU216" s="79"/>
      <c r="AV216" s="92" t="str">
        <f>VLOOKUP(I216, Kiegészítő_Mátrix!C:E, 3, FALSE)</f>
        <v>Dreamwear kiegészítők</v>
      </c>
    </row>
    <row r="217" spans="1:48" ht="30" customHeight="1" x14ac:dyDescent="0.3">
      <c r="A217" s="79"/>
      <c r="B217" s="79" t="s">
        <v>368</v>
      </c>
      <c r="C217" s="79" t="s">
        <v>163</v>
      </c>
      <c r="D217" s="80" t="s">
        <v>285</v>
      </c>
      <c r="E217" s="81" t="s">
        <v>1040</v>
      </c>
      <c r="F217" s="80" t="s">
        <v>1191</v>
      </c>
      <c r="G217" s="128" t="s">
        <v>1042</v>
      </c>
      <c r="H217" s="81" t="s">
        <v>808</v>
      </c>
      <c r="I217" s="163" t="s">
        <v>268</v>
      </c>
      <c r="J217" s="126" t="s">
        <v>269</v>
      </c>
      <c r="K217" s="126"/>
      <c r="L217" s="101" t="s">
        <v>16</v>
      </c>
      <c r="M217" s="120"/>
      <c r="N217" s="86" t="s">
        <v>17</v>
      </c>
      <c r="O217" s="87"/>
      <c r="P217" s="91" t="s">
        <v>598</v>
      </c>
      <c r="Q217" s="84" t="s">
        <v>5</v>
      </c>
      <c r="R217" s="89"/>
      <c r="S217" s="90"/>
      <c r="T217" s="79"/>
      <c r="U217" s="79"/>
      <c r="V217" s="79"/>
      <c r="W217" s="79"/>
      <c r="X217" s="79"/>
      <c r="Y217" s="79"/>
      <c r="Z217" s="91"/>
      <c r="AA217" s="91"/>
      <c r="AB217" s="91"/>
      <c r="AC217" s="79"/>
      <c r="AD217" s="79"/>
      <c r="AE217" s="79"/>
      <c r="AF217" s="92"/>
      <c r="AG217" s="92"/>
      <c r="AH217" s="79"/>
      <c r="AI217" s="79"/>
      <c r="AJ217" s="92"/>
      <c r="AK217" s="79"/>
      <c r="AL217" s="79"/>
      <c r="AM217" s="92"/>
      <c r="AN217" s="92"/>
      <c r="AO217" s="92"/>
      <c r="AP217" s="92"/>
      <c r="AQ217" s="92"/>
      <c r="AR217" s="92"/>
      <c r="AS217" s="92"/>
      <c r="AT217" s="79"/>
      <c r="AU217" s="79"/>
      <c r="AV217" s="92" t="e">
        <f>VLOOKUP(I217, Kiegészítő_Mátrix!C:E, 3, FALSE)</f>
        <v>#N/A</v>
      </c>
    </row>
    <row r="218" spans="1:48" ht="30" customHeight="1" x14ac:dyDescent="0.3">
      <c r="A218" s="79"/>
      <c r="B218" s="79" t="s">
        <v>368</v>
      </c>
      <c r="C218" s="79" t="s">
        <v>163</v>
      </c>
      <c r="D218" s="80" t="s">
        <v>285</v>
      </c>
      <c r="E218" s="81" t="s">
        <v>1040</v>
      </c>
      <c r="F218" s="80" t="s">
        <v>1191</v>
      </c>
      <c r="G218" s="128" t="s">
        <v>1042</v>
      </c>
      <c r="H218" s="81" t="s">
        <v>808</v>
      </c>
      <c r="I218" s="163" t="s">
        <v>1059</v>
      </c>
      <c r="J218" s="126" t="s">
        <v>269</v>
      </c>
      <c r="K218" s="126"/>
      <c r="L218" s="101" t="s">
        <v>16</v>
      </c>
      <c r="M218" s="120"/>
      <c r="N218" s="86" t="s">
        <v>17</v>
      </c>
      <c r="O218" s="87"/>
      <c r="P218" s="91" t="s">
        <v>598</v>
      </c>
      <c r="Q218" s="84" t="s">
        <v>5</v>
      </c>
      <c r="R218" s="89"/>
      <c r="S218" s="90"/>
      <c r="T218" s="79"/>
      <c r="U218" s="79"/>
      <c r="V218" s="79"/>
      <c r="W218" s="79"/>
      <c r="X218" s="79"/>
      <c r="Y218" s="79"/>
      <c r="Z218" s="91"/>
      <c r="AA218" s="91"/>
      <c r="AB218" s="91"/>
      <c r="AC218" s="79"/>
      <c r="AD218" s="79"/>
      <c r="AE218" s="79"/>
      <c r="AF218" s="92"/>
      <c r="AG218" s="92"/>
      <c r="AH218" s="79"/>
      <c r="AI218" s="79"/>
      <c r="AJ218" s="92"/>
      <c r="AK218" s="79"/>
      <c r="AL218" s="79"/>
      <c r="AM218" s="92"/>
      <c r="AN218" s="92"/>
      <c r="AO218" s="92"/>
      <c r="AP218" s="92"/>
      <c r="AQ218" s="92"/>
      <c r="AR218" s="92"/>
      <c r="AS218" s="92"/>
      <c r="AT218" s="79"/>
      <c r="AU218" s="79"/>
      <c r="AV218" s="92" t="e">
        <f>VLOOKUP(I218, Kiegészítő_Mátrix!C:E, 3, FALSE)</f>
        <v>#N/A</v>
      </c>
    </row>
    <row r="219" spans="1:48" ht="30" customHeight="1" x14ac:dyDescent="0.3">
      <c r="A219" s="79"/>
      <c r="B219" s="79" t="s">
        <v>368</v>
      </c>
      <c r="C219" s="79" t="s">
        <v>163</v>
      </c>
      <c r="D219" s="80" t="s">
        <v>285</v>
      </c>
      <c r="E219" s="81" t="s">
        <v>1040</v>
      </c>
      <c r="F219" s="80" t="s">
        <v>1191</v>
      </c>
      <c r="G219" s="128" t="s">
        <v>1042</v>
      </c>
      <c r="H219" s="81" t="s">
        <v>816</v>
      </c>
      <c r="I219" s="131">
        <v>1105405</v>
      </c>
      <c r="J219" s="126" t="s">
        <v>280</v>
      </c>
      <c r="K219" s="126" t="s">
        <v>2159</v>
      </c>
      <c r="L219" s="101" t="s">
        <v>16</v>
      </c>
      <c r="M219" s="120"/>
      <c r="N219" s="86" t="s">
        <v>17</v>
      </c>
      <c r="O219" s="87"/>
      <c r="P219" s="91" t="s">
        <v>1094</v>
      </c>
      <c r="Q219" s="84" t="s">
        <v>17</v>
      </c>
      <c r="R219" s="89"/>
      <c r="S219" s="90"/>
      <c r="T219" s="79"/>
      <c r="U219" s="79"/>
      <c r="V219" s="79"/>
      <c r="W219" s="79"/>
      <c r="X219" s="79"/>
      <c r="Y219" s="79"/>
      <c r="Z219" s="91"/>
      <c r="AA219" s="91"/>
      <c r="AB219" s="91"/>
      <c r="AC219" s="79"/>
      <c r="AD219" s="79"/>
      <c r="AE219" s="79"/>
      <c r="AF219" s="92"/>
      <c r="AG219" s="92"/>
      <c r="AH219" s="79"/>
      <c r="AI219" s="79"/>
      <c r="AJ219" s="92"/>
      <c r="AK219" s="79"/>
      <c r="AL219" s="79"/>
      <c r="AM219" s="92"/>
      <c r="AN219" s="92"/>
      <c r="AO219" s="92"/>
      <c r="AP219" s="92"/>
      <c r="AQ219" s="92" t="s">
        <v>1997</v>
      </c>
      <c r="AR219" s="92" t="s">
        <v>1998</v>
      </c>
      <c r="AS219" s="92" t="s">
        <v>1999</v>
      </c>
      <c r="AT219" s="79"/>
      <c r="AU219" s="79"/>
      <c r="AV219" s="92" t="e">
        <f>VLOOKUP(I219, Kiegészítő_Mátrix!C:E, 3, FALSE)</f>
        <v>#N/A</v>
      </c>
    </row>
    <row r="220" spans="1:48" ht="30" customHeight="1" x14ac:dyDescent="0.3">
      <c r="A220" s="79"/>
      <c r="B220" s="79" t="s">
        <v>368</v>
      </c>
      <c r="C220" s="79" t="s">
        <v>163</v>
      </c>
      <c r="D220" s="80" t="s">
        <v>285</v>
      </c>
      <c r="E220" s="81" t="s">
        <v>1040</v>
      </c>
      <c r="F220" s="80" t="s">
        <v>1191</v>
      </c>
      <c r="G220" s="128" t="s">
        <v>1042</v>
      </c>
      <c r="H220" s="81" t="s">
        <v>815</v>
      </c>
      <c r="I220" s="80">
        <v>1094080</v>
      </c>
      <c r="J220" s="79" t="s">
        <v>278</v>
      </c>
      <c r="K220" s="79" t="s">
        <v>2158</v>
      </c>
      <c r="L220" s="84" t="s">
        <v>16</v>
      </c>
      <c r="M220" s="85">
        <v>17780</v>
      </c>
      <c r="N220" s="86" t="s">
        <v>17</v>
      </c>
      <c r="O220" s="87">
        <v>42005</v>
      </c>
      <c r="P220" s="91" t="s">
        <v>1094</v>
      </c>
      <c r="Q220" s="84" t="s">
        <v>5</v>
      </c>
      <c r="R220" s="89" t="s">
        <v>1066</v>
      </c>
      <c r="S220" s="90" t="s">
        <v>1067</v>
      </c>
      <c r="T220" s="79"/>
      <c r="U220" s="79"/>
      <c r="V220" s="79"/>
      <c r="W220" s="79"/>
      <c r="X220" s="79"/>
      <c r="Y220" s="79"/>
      <c r="Z220" s="91"/>
      <c r="AA220" s="91"/>
      <c r="AB220" s="91"/>
      <c r="AC220" s="79"/>
      <c r="AD220" s="79"/>
      <c r="AE220" s="79"/>
      <c r="AF220" s="92"/>
      <c r="AG220" s="92"/>
      <c r="AH220" s="79"/>
      <c r="AI220" s="79"/>
      <c r="AJ220" s="92" t="s">
        <v>1061</v>
      </c>
      <c r="AK220" s="79"/>
      <c r="AL220" s="79" t="s">
        <v>507</v>
      </c>
      <c r="AM220" s="92" t="s">
        <v>409</v>
      </c>
      <c r="AN220" s="92" t="s">
        <v>1072</v>
      </c>
      <c r="AO220" s="92" t="s">
        <v>1122</v>
      </c>
      <c r="AP220" s="92"/>
      <c r="AQ220" s="92" t="s">
        <v>2000</v>
      </c>
      <c r="AR220" s="92" t="s">
        <v>2001</v>
      </c>
      <c r="AS220" s="92" t="s">
        <v>2002</v>
      </c>
      <c r="AT220" s="79"/>
      <c r="AU220" s="79"/>
      <c r="AV220" s="92" t="str">
        <f>VLOOKUP(I220, Kiegészítő_Mátrix!C:E, 3, FALSE)</f>
        <v>Wisp kiegészítők</v>
      </c>
    </row>
    <row r="221" spans="1:48" ht="30" customHeight="1" x14ac:dyDescent="0.3">
      <c r="A221" s="79"/>
      <c r="B221" s="79" t="s">
        <v>368</v>
      </c>
      <c r="C221" s="79" t="s">
        <v>163</v>
      </c>
      <c r="D221" s="80" t="s">
        <v>285</v>
      </c>
      <c r="E221" s="81" t="s">
        <v>1040</v>
      </c>
      <c r="F221" s="80" t="s">
        <v>1191</v>
      </c>
      <c r="G221" s="128" t="s">
        <v>1042</v>
      </c>
      <c r="H221" s="81" t="s">
        <v>815</v>
      </c>
      <c r="I221" s="80">
        <v>1094081</v>
      </c>
      <c r="J221" s="79" t="s">
        <v>279</v>
      </c>
      <c r="K221" s="79" t="s">
        <v>2158</v>
      </c>
      <c r="L221" s="84" t="s">
        <v>16</v>
      </c>
      <c r="M221" s="85">
        <v>17780</v>
      </c>
      <c r="N221" s="86" t="s">
        <v>17</v>
      </c>
      <c r="O221" s="87">
        <v>42005</v>
      </c>
      <c r="P221" s="91" t="s">
        <v>1094</v>
      </c>
      <c r="Q221" s="84" t="s">
        <v>5</v>
      </c>
      <c r="R221" s="89" t="s">
        <v>1064</v>
      </c>
      <c r="S221" s="90" t="s">
        <v>1065</v>
      </c>
      <c r="T221" s="79"/>
      <c r="U221" s="79"/>
      <c r="V221" s="79"/>
      <c r="W221" s="79"/>
      <c r="X221" s="79"/>
      <c r="Y221" s="79"/>
      <c r="Z221" s="91"/>
      <c r="AA221" s="91"/>
      <c r="AB221" s="91"/>
      <c r="AC221" s="79"/>
      <c r="AD221" s="79"/>
      <c r="AE221" s="79"/>
      <c r="AF221" s="92"/>
      <c r="AG221" s="92"/>
      <c r="AH221" s="79"/>
      <c r="AI221" s="79"/>
      <c r="AJ221" s="92" t="s">
        <v>1061</v>
      </c>
      <c r="AK221" s="79"/>
      <c r="AL221" s="79" t="s">
        <v>507</v>
      </c>
      <c r="AM221" s="92" t="s">
        <v>409</v>
      </c>
      <c r="AN221" s="92" t="s">
        <v>1073</v>
      </c>
      <c r="AO221" s="92" t="s">
        <v>1122</v>
      </c>
      <c r="AP221" s="92"/>
      <c r="AQ221" s="92" t="s">
        <v>2003</v>
      </c>
      <c r="AR221" s="92" t="s">
        <v>2004</v>
      </c>
      <c r="AS221" s="92" t="s">
        <v>2005</v>
      </c>
      <c r="AT221" s="79"/>
      <c r="AU221" s="79"/>
      <c r="AV221" s="92" t="str">
        <f>VLOOKUP(I221, Kiegészítő_Mátrix!C:E, 3, FALSE)</f>
        <v>Wisp kiegészítők</v>
      </c>
    </row>
    <row r="222" spans="1:48" ht="30" customHeight="1" x14ac:dyDescent="0.3">
      <c r="A222" s="79"/>
      <c r="B222" s="79"/>
      <c r="C222" s="79"/>
      <c r="D222" s="98"/>
      <c r="E222" s="83"/>
      <c r="F222" s="98"/>
      <c r="G222" s="98"/>
      <c r="H222" s="81"/>
      <c r="I222" s="82"/>
      <c r="J222" s="79"/>
      <c r="K222" s="79"/>
      <c r="L222" s="84"/>
      <c r="M222" s="85"/>
      <c r="N222" s="86"/>
      <c r="O222" s="87"/>
      <c r="P222" s="91"/>
      <c r="Q222" s="84"/>
      <c r="R222" s="89"/>
      <c r="S222" s="90"/>
      <c r="T222" s="79"/>
      <c r="U222" s="79"/>
      <c r="V222" s="79"/>
      <c r="W222" s="79"/>
      <c r="X222" s="79"/>
      <c r="Y222" s="79"/>
      <c r="Z222" s="91"/>
      <c r="AA222" s="91"/>
      <c r="AB222" s="91"/>
      <c r="AC222" s="79"/>
      <c r="AD222" s="79"/>
      <c r="AE222" s="79"/>
      <c r="AF222" s="92"/>
      <c r="AG222" s="92"/>
      <c r="AH222" s="79"/>
      <c r="AI222" s="79"/>
      <c r="AJ222" s="92"/>
      <c r="AK222" s="79"/>
      <c r="AL222" s="79"/>
      <c r="AM222" s="92"/>
      <c r="AN222" s="92"/>
      <c r="AO222" s="92"/>
      <c r="AP222" s="92"/>
      <c r="AQ222" s="92"/>
      <c r="AR222" s="92"/>
      <c r="AS222" s="92"/>
      <c r="AT222" s="79"/>
      <c r="AU222" s="79"/>
      <c r="AV222" s="92" t="e">
        <f>VLOOKUP(I222, Kiegészítő_Mátrix!C:E, 3, FALSE)</f>
        <v>#N/A</v>
      </c>
    </row>
    <row r="223" spans="1:48" ht="30" customHeight="1" x14ac:dyDescent="0.3">
      <c r="A223" s="79"/>
      <c r="B223" s="79" t="s">
        <v>368</v>
      </c>
      <c r="C223" s="79" t="s">
        <v>163</v>
      </c>
      <c r="D223" s="80" t="s">
        <v>1192</v>
      </c>
      <c r="E223" s="81" t="s">
        <v>1040</v>
      </c>
      <c r="F223" s="80" t="s">
        <v>1193</v>
      </c>
      <c r="G223" s="128" t="s">
        <v>1043</v>
      </c>
      <c r="H223" s="81" t="s">
        <v>1282</v>
      </c>
      <c r="I223" s="131" t="s">
        <v>1281</v>
      </c>
      <c r="J223" s="126" t="s">
        <v>1283</v>
      </c>
      <c r="K223" s="126"/>
      <c r="L223" s="84" t="s">
        <v>4</v>
      </c>
      <c r="M223" s="85"/>
      <c r="N223" s="86" t="s">
        <v>17</v>
      </c>
      <c r="O223" s="87"/>
      <c r="P223" s="91" t="s">
        <v>1094</v>
      </c>
      <c r="Q223" s="84" t="s">
        <v>17</v>
      </c>
      <c r="R223" s="89" t="s">
        <v>2006</v>
      </c>
      <c r="S223" s="90" t="s">
        <v>2013</v>
      </c>
      <c r="T223" s="79"/>
      <c r="U223" s="79"/>
      <c r="V223" s="79"/>
      <c r="W223" s="79"/>
      <c r="X223" s="79"/>
      <c r="Y223" s="79"/>
      <c r="Z223" s="91"/>
      <c r="AA223" s="91"/>
      <c r="AB223" s="91"/>
      <c r="AC223" s="79"/>
      <c r="AD223" s="79"/>
      <c r="AE223" s="79"/>
      <c r="AF223" s="92"/>
      <c r="AG223" s="92"/>
      <c r="AH223" s="79"/>
      <c r="AI223" s="79"/>
      <c r="AJ223" s="92"/>
      <c r="AK223" s="79"/>
      <c r="AL223" s="79"/>
      <c r="AM223" s="92"/>
      <c r="AN223" s="92"/>
      <c r="AO223" s="92"/>
      <c r="AP223" s="92"/>
      <c r="AQ223" s="92" t="s">
        <v>2007</v>
      </c>
      <c r="AR223" s="92" t="s">
        <v>2008</v>
      </c>
      <c r="AS223" s="92" t="s">
        <v>2009</v>
      </c>
      <c r="AT223" s="79"/>
      <c r="AU223" s="79"/>
      <c r="AV223" s="92" t="str">
        <f>VLOOKUP(I223, Kiegészítő_Mátrix!C:E, 3, FALSE)</f>
        <v>Julia kiegészítők</v>
      </c>
    </row>
    <row r="224" spans="1:48" ht="30" customHeight="1" x14ac:dyDescent="0.3">
      <c r="A224" s="79"/>
      <c r="B224" s="79" t="s">
        <v>368</v>
      </c>
      <c r="C224" s="79" t="s">
        <v>163</v>
      </c>
      <c r="D224" s="80" t="s">
        <v>1192</v>
      </c>
      <c r="E224" s="81" t="s">
        <v>1040</v>
      </c>
      <c r="F224" s="80" t="s">
        <v>1193</v>
      </c>
      <c r="G224" s="128" t="s">
        <v>1043</v>
      </c>
      <c r="H224" s="81" t="s">
        <v>809</v>
      </c>
      <c r="I224" s="80">
        <v>1116754</v>
      </c>
      <c r="J224" s="79" t="s">
        <v>270</v>
      </c>
      <c r="K224" s="79" t="s">
        <v>2158</v>
      </c>
      <c r="L224" s="84" t="s">
        <v>16</v>
      </c>
      <c r="M224" s="85">
        <v>5334</v>
      </c>
      <c r="N224" s="86" t="s">
        <v>17</v>
      </c>
      <c r="O224" s="87">
        <v>42522</v>
      </c>
      <c r="P224" s="91" t="s">
        <v>1094</v>
      </c>
      <c r="Q224" s="84" t="s">
        <v>5</v>
      </c>
      <c r="R224" s="89" t="s">
        <v>1074</v>
      </c>
      <c r="S224" s="90" t="s">
        <v>1075</v>
      </c>
      <c r="T224" s="79"/>
      <c r="U224" s="79"/>
      <c r="V224" s="79"/>
      <c r="W224" s="79"/>
      <c r="X224" s="79"/>
      <c r="Y224" s="79"/>
      <c r="Z224" s="91"/>
      <c r="AA224" s="91"/>
      <c r="AB224" s="91"/>
      <c r="AC224" s="79"/>
      <c r="AD224" s="79"/>
      <c r="AE224" s="79"/>
      <c r="AF224" s="92"/>
      <c r="AG224" s="92"/>
      <c r="AH224" s="79"/>
      <c r="AI224" s="79"/>
      <c r="AJ224" s="92" t="s">
        <v>1068</v>
      </c>
      <c r="AK224" s="79"/>
      <c r="AL224" s="79" t="s">
        <v>507</v>
      </c>
      <c r="AM224" s="92" t="s">
        <v>409</v>
      </c>
      <c r="AN224" s="92" t="s">
        <v>1123</v>
      </c>
      <c r="AO224" s="92" t="s">
        <v>1124</v>
      </c>
      <c r="AP224" s="92"/>
      <c r="AQ224" s="92" t="s">
        <v>2010</v>
      </c>
      <c r="AR224" s="92" t="s">
        <v>2011</v>
      </c>
      <c r="AS224" s="92" t="s">
        <v>2012</v>
      </c>
      <c r="AT224" s="79"/>
      <c r="AU224" s="79"/>
      <c r="AV224" s="92" t="str">
        <f>VLOOKUP(I224, Kiegészítő_Mátrix!C:E, 3, FALSE)</f>
        <v>Dreamwear kiegészítők</v>
      </c>
    </row>
    <row r="225" spans="1:48" ht="30" customHeight="1" x14ac:dyDescent="0.3">
      <c r="A225" s="79"/>
      <c r="B225" s="79"/>
      <c r="C225" s="79"/>
      <c r="D225" s="98"/>
      <c r="E225" s="83"/>
      <c r="F225" s="98"/>
      <c r="G225" s="98"/>
      <c r="H225" s="81"/>
      <c r="I225" s="82"/>
      <c r="J225" s="79"/>
      <c r="K225" s="79"/>
      <c r="L225" s="84"/>
      <c r="M225" s="85"/>
      <c r="N225" s="86"/>
      <c r="O225" s="87"/>
      <c r="P225" s="91"/>
      <c r="Q225" s="84"/>
      <c r="R225" s="89"/>
      <c r="S225" s="90"/>
      <c r="T225" s="79"/>
      <c r="U225" s="79"/>
      <c r="V225" s="79"/>
      <c r="W225" s="79"/>
      <c r="X225" s="79"/>
      <c r="Y225" s="79"/>
      <c r="Z225" s="91"/>
      <c r="AA225" s="91"/>
      <c r="AB225" s="91"/>
      <c r="AC225" s="79"/>
      <c r="AD225" s="79"/>
      <c r="AE225" s="79"/>
      <c r="AF225" s="92"/>
      <c r="AG225" s="92"/>
      <c r="AH225" s="79"/>
      <c r="AI225" s="79"/>
      <c r="AJ225" s="92"/>
      <c r="AK225" s="79"/>
      <c r="AL225" s="79"/>
      <c r="AM225" s="92"/>
      <c r="AN225" s="92"/>
      <c r="AO225" s="92"/>
      <c r="AP225" s="92"/>
      <c r="AQ225" s="92"/>
      <c r="AR225" s="92"/>
      <c r="AS225" s="92"/>
      <c r="AT225" s="79"/>
      <c r="AU225" s="79"/>
      <c r="AV225" s="92" t="e">
        <f>VLOOKUP(I225, Kiegészítő_Mátrix!C:E, 3, FALSE)</f>
        <v>#N/A</v>
      </c>
    </row>
    <row r="226" spans="1:48" ht="30" customHeight="1" x14ac:dyDescent="0.3">
      <c r="A226" s="79"/>
      <c r="B226" s="79" t="s">
        <v>368</v>
      </c>
      <c r="C226" s="79" t="s">
        <v>163</v>
      </c>
      <c r="D226" s="80" t="s">
        <v>1192</v>
      </c>
      <c r="E226" s="81" t="s">
        <v>1040</v>
      </c>
      <c r="F226" s="80" t="s">
        <v>1194</v>
      </c>
      <c r="G226" s="128" t="s">
        <v>1044</v>
      </c>
      <c r="H226" s="81" t="s">
        <v>822</v>
      </c>
      <c r="I226" s="131" t="s">
        <v>1046</v>
      </c>
      <c r="J226" s="126" t="s">
        <v>1047</v>
      </c>
      <c r="K226" s="126"/>
      <c r="L226" s="84" t="s">
        <v>4</v>
      </c>
      <c r="M226" s="85"/>
      <c r="N226" s="86" t="s">
        <v>17</v>
      </c>
      <c r="O226" s="87"/>
      <c r="P226" s="91"/>
      <c r="Q226" s="84" t="s">
        <v>17</v>
      </c>
      <c r="R226" s="89" t="s">
        <v>1114</v>
      </c>
      <c r="S226" s="90" t="s">
        <v>1112</v>
      </c>
      <c r="T226" s="79"/>
      <c r="U226" s="79"/>
      <c r="V226" s="79"/>
      <c r="W226" s="79"/>
      <c r="X226" s="79"/>
      <c r="Y226" s="79"/>
      <c r="Z226" s="91"/>
      <c r="AA226" s="91"/>
      <c r="AB226" s="91"/>
      <c r="AC226" s="79"/>
      <c r="AD226" s="79"/>
      <c r="AE226" s="79"/>
      <c r="AF226" s="92"/>
      <c r="AG226" s="92"/>
      <c r="AH226" s="79"/>
      <c r="AI226" s="79"/>
      <c r="AJ226" s="92" t="s">
        <v>1069</v>
      </c>
      <c r="AK226" s="79"/>
      <c r="AL226" s="79" t="s">
        <v>507</v>
      </c>
      <c r="AM226" s="92" t="s">
        <v>409</v>
      </c>
      <c r="AN226" s="92" t="s">
        <v>1125</v>
      </c>
      <c r="AO226" s="92" t="s">
        <v>1126</v>
      </c>
      <c r="AP226" s="92"/>
      <c r="AQ226" s="92" t="s">
        <v>2014</v>
      </c>
      <c r="AR226" s="92" t="s">
        <v>2015</v>
      </c>
      <c r="AS226" s="92" t="s">
        <v>2016</v>
      </c>
      <c r="AT226" s="79"/>
      <c r="AU226" s="79"/>
      <c r="AV226" s="92" t="str">
        <f>VLOOKUP(I226, Kiegészítő_Mátrix!C:E, 3, FALSE)</f>
        <v>Julia kiegészítők</v>
      </c>
    </row>
    <row r="227" spans="1:48" ht="30" customHeight="1" x14ac:dyDescent="0.3">
      <c r="A227" s="79"/>
      <c r="B227" s="79" t="s">
        <v>368</v>
      </c>
      <c r="C227" s="79" t="s">
        <v>163</v>
      </c>
      <c r="D227" s="80" t="s">
        <v>1192</v>
      </c>
      <c r="E227" s="81" t="s">
        <v>1040</v>
      </c>
      <c r="F227" s="80" t="s">
        <v>1194</v>
      </c>
      <c r="G227" s="128" t="s">
        <v>1044</v>
      </c>
      <c r="H227" s="81" t="s">
        <v>822</v>
      </c>
      <c r="I227" s="80">
        <v>1105180</v>
      </c>
      <c r="J227" s="79" t="s">
        <v>1049</v>
      </c>
      <c r="K227" s="79" t="s">
        <v>2158</v>
      </c>
      <c r="L227" s="84" t="s">
        <v>16</v>
      </c>
      <c r="M227" s="85"/>
      <c r="N227" s="86" t="s">
        <v>17</v>
      </c>
      <c r="O227" s="87"/>
      <c r="P227" s="91" t="s">
        <v>1094</v>
      </c>
      <c r="Q227" s="84" t="s">
        <v>17</v>
      </c>
      <c r="R227" s="89" t="s">
        <v>1113</v>
      </c>
      <c r="S227" s="90" t="s">
        <v>1115</v>
      </c>
      <c r="T227" s="79"/>
      <c r="U227" s="79"/>
      <c r="V227" s="79"/>
      <c r="W227" s="79"/>
      <c r="X227" s="79"/>
      <c r="Y227" s="79"/>
      <c r="Z227" s="91"/>
      <c r="AA227" s="91"/>
      <c r="AB227" s="91"/>
      <c r="AC227" s="79"/>
      <c r="AD227" s="79"/>
      <c r="AE227" s="79"/>
      <c r="AF227" s="92"/>
      <c r="AG227" s="92"/>
      <c r="AH227" s="79"/>
      <c r="AI227" s="79"/>
      <c r="AJ227" s="92" t="s">
        <v>1069</v>
      </c>
      <c r="AK227" s="79"/>
      <c r="AL227" s="79" t="s">
        <v>507</v>
      </c>
      <c r="AM227" s="92" t="s">
        <v>409</v>
      </c>
      <c r="AN227" s="92" t="s">
        <v>1127</v>
      </c>
      <c r="AO227" s="92" t="s">
        <v>1126</v>
      </c>
      <c r="AP227" s="92"/>
      <c r="AQ227" s="92" t="s">
        <v>2017</v>
      </c>
      <c r="AR227" s="92" t="s">
        <v>2018</v>
      </c>
      <c r="AS227" s="92" t="s">
        <v>2019</v>
      </c>
      <c r="AT227" s="79"/>
      <c r="AU227" s="79"/>
      <c r="AV227" s="92" t="str">
        <f>VLOOKUP(I227, Kiegészítő_Mátrix!C:E, 3, FALSE)</f>
        <v>Nuance Pro kiegészítők</v>
      </c>
    </row>
    <row r="228" spans="1:48" ht="30" customHeight="1" x14ac:dyDescent="0.3">
      <c r="A228" s="79"/>
      <c r="B228" s="79" t="s">
        <v>368</v>
      </c>
      <c r="C228" s="79" t="s">
        <v>163</v>
      </c>
      <c r="D228" s="80" t="s">
        <v>1192</v>
      </c>
      <c r="E228" s="81" t="s">
        <v>1040</v>
      </c>
      <c r="F228" s="80" t="s">
        <v>1194</v>
      </c>
      <c r="G228" s="128" t="s">
        <v>1044</v>
      </c>
      <c r="H228" s="81" t="s">
        <v>822</v>
      </c>
      <c r="I228" s="80">
        <v>1105624</v>
      </c>
      <c r="J228" s="79" t="s">
        <v>319</v>
      </c>
      <c r="K228" s="79" t="s">
        <v>2158</v>
      </c>
      <c r="L228" s="84" t="s">
        <v>16</v>
      </c>
      <c r="M228" s="85">
        <v>11430</v>
      </c>
      <c r="N228" s="86" t="s">
        <v>17</v>
      </c>
      <c r="O228" s="87">
        <v>42156</v>
      </c>
      <c r="P228" s="91" t="s">
        <v>1094</v>
      </c>
      <c r="Q228" s="84" t="s">
        <v>5</v>
      </c>
      <c r="R228" s="89" t="s">
        <v>1117</v>
      </c>
      <c r="S228" s="90" t="s">
        <v>1116</v>
      </c>
      <c r="T228" s="79"/>
      <c r="U228" s="79"/>
      <c r="V228" s="79"/>
      <c r="W228" s="79"/>
      <c r="X228" s="79"/>
      <c r="Y228" s="79"/>
      <c r="Z228" s="91"/>
      <c r="AA228" s="91"/>
      <c r="AB228" s="91"/>
      <c r="AC228" s="79"/>
      <c r="AD228" s="79"/>
      <c r="AE228" s="79"/>
      <c r="AF228" s="92"/>
      <c r="AG228" s="92"/>
      <c r="AH228" s="79"/>
      <c r="AI228" s="79"/>
      <c r="AJ228" s="92" t="s">
        <v>1070</v>
      </c>
      <c r="AK228" s="79"/>
      <c r="AL228" s="79" t="s">
        <v>507</v>
      </c>
      <c r="AM228" s="92" t="s">
        <v>409</v>
      </c>
      <c r="AN228" s="92" t="s">
        <v>1128</v>
      </c>
      <c r="AO228" s="92" t="s">
        <v>1126</v>
      </c>
      <c r="AP228" s="92"/>
      <c r="AQ228" s="92" t="s">
        <v>2020</v>
      </c>
      <c r="AR228" s="92" t="s">
        <v>2021</v>
      </c>
      <c r="AS228" s="92" t="s">
        <v>2022</v>
      </c>
      <c r="AT228" s="79"/>
      <c r="AU228" s="79"/>
      <c r="AV228" s="92" t="str">
        <f>VLOOKUP(I228, Kiegészítő_Mátrix!C:E, 3, FALSE)</f>
        <v>Wisp kiegészítők</v>
      </c>
    </row>
    <row r="229" spans="1:48" ht="30" customHeight="1" x14ac:dyDescent="0.3">
      <c r="A229" s="79"/>
      <c r="B229" s="79" t="s">
        <v>368</v>
      </c>
      <c r="C229" s="79" t="s">
        <v>163</v>
      </c>
      <c r="D229" s="80" t="s">
        <v>1192</v>
      </c>
      <c r="E229" s="81" t="s">
        <v>1040</v>
      </c>
      <c r="F229" s="80" t="s">
        <v>1194</v>
      </c>
      <c r="G229" s="128" t="s">
        <v>1044</v>
      </c>
      <c r="H229" s="81" t="s">
        <v>822</v>
      </c>
      <c r="I229" s="80">
        <v>1090689</v>
      </c>
      <c r="J229" s="79" t="s">
        <v>1048</v>
      </c>
      <c r="K229" s="79" t="s">
        <v>2158</v>
      </c>
      <c r="L229" s="84" t="s">
        <v>16</v>
      </c>
      <c r="M229" s="85">
        <v>12700</v>
      </c>
      <c r="N229" s="86" t="s">
        <v>17</v>
      </c>
      <c r="O229" s="87">
        <v>45566</v>
      </c>
      <c r="P229" s="91" t="s">
        <v>1094</v>
      </c>
      <c r="Q229" s="84" t="s">
        <v>17</v>
      </c>
      <c r="R229" s="89" t="s">
        <v>1118</v>
      </c>
      <c r="S229" s="90" t="s">
        <v>1119</v>
      </c>
      <c r="T229" s="79"/>
      <c r="U229" s="79"/>
      <c r="V229" s="79"/>
      <c r="W229" s="79"/>
      <c r="X229" s="79"/>
      <c r="Y229" s="79"/>
      <c r="Z229" s="91"/>
      <c r="AA229" s="91"/>
      <c r="AB229" s="91"/>
      <c r="AC229" s="79"/>
      <c r="AD229" s="79"/>
      <c r="AE229" s="79"/>
      <c r="AF229" s="92"/>
      <c r="AG229" s="92"/>
      <c r="AH229" s="79"/>
      <c r="AI229" s="79"/>
      <c r="AJ229" s="92" t="s">
        <v>1069</v>
      </c>
      <c r="AK229" s="79"/>
      <c r="AL229" s="79" t="s">
        <v>507</v>
      </c>
      <c r="AM229" s="92" t="s">
        <v>409</v>
      </c>
      <c r="AN229" s="92" t="s">
        <v>1129</v>
      </c>
      <c r="AO229" s="92" t="s">
        <v>1126</v>
      </c>
      <c r="AP229" s="92"/>
      <c r="AQ229" s="92" t="s">
        <v>2023</v>
      </c>
      <c r="AR229" s="92" t="s">
        <v>2024</v>
      </c>
      <c r="AS229" s="92" t="s">
        <v>2025</v>
      </c>
      <c r="AT229" s="79"/>
      <c r="AU229" s="79"/>
      <c r="AV229" s="92" t="str">
        <f>VLOOKUP(I229, Kiegészítő_Mátrix!C:E, 3, FALSE)</f>
        <v>Amara View kiegészítők</v>
      </c>
    </row>
    <row r="230" spans="1:48" ht="30" customHeight="1" x14ac:dyDescent="0.3">
      <c r="A230" s="79"/>
      <c r="B230" s="79"/>
      <c r="C230" s="79"/>
      <c r="D230" s="98"/>
      <c r="E230" s="83"/>
      <c r="F230" s="98"/>
      <c r="G230" s="98"/>
      <c r="H230" s="81"/>
      <c r="I230" s="83"/>
      <c r="J230" s="79"/>
      <c r="K230" s="79"/>
      <c r="L230" s="84"/>
      <c r="M230" s="85"/>
      <c r="N230" s="86"/>
      <c r="O230" s="87"/>
      <c r="P230" s="91"/>
      <c r="Q230" s="84"/>
      <c r="R230" s="89"/>
      <c r="S230" s="90"/>
      <c r="T230" s="79"/>
      <c r="U230" s="79"/>
      <c r="V230" s="79"/>
      <c r="W230" s="79"/>
      <c r="X230" s="79"/>
      <c r="Y230" s="79"/>
      <c r="Z230" s="91"/>
      <c r="AA230" s="91"/>
      <c r="AB230" s="91"/>
      <c r="AC230" s="79"/>
      <c r="AD230" s="79"/>
      <c r="AE230" s="79"/>
      <c r="AF230" s="92"/>
      <c r="AG230" s="92"/>
      <c r="AH230" s="79"/>
      <c r="AI230" s="79"/>
      <c r="AJ230" s="92"/>
      <c r="AK230" s="79"/>
      <c r="AL230" s="79"/>
      <c r="AM230" s="92"/>
      <c r="AN230" s="92"/>
      <c r="AO230" s="92"/>
      <c r="AP230" s="92"/>
      <c r="AQ230" s="92"/>
      <c r="AR230" s="92"/>
      <c r="AS230" s="92"/>
      <c r="AT230" s="79"/>
      <c r="AU230" s="79"/>
      <c r="AV230" s="92" t="e">
        <f>VLOOKUP(I230, Kiegészítő_Mátrix!C:E, 3, FALSE)</f>
        <v>#N/A</v>
      </c>
    </row>
    <row r="231" spans="1:48" ht="30" customHeight="1" x14ac:dyDescent="0.3">
      <c r="A231" s="79"/>
      <c r="B231" s="79" t="s">
        <v>368</v>
      </c>
      <c r="C231" s="79" t="s">
        <v>163</v>
      </c>
      <c r="D231" s="80" t="s">
        <v>1192</v>
      </c>
      <c r="E231" s="81" t="s">
        <v>1040</v>
      </c>
      <c r="F231" s="80" t="s">
        <v>1195</v>
      </c>
      <c r="G231" s="128" t="s">
        <v>1045</v>
      </c>
      <c r="H231" s="81" t="s">
        <v>1330</v>
      </c>
      <c r="I231" s="81" t="s">
        <v>1331</v>
      </c>
      <c r="J231" s="79" t="s">
        <v>326</v>
      </c>
      <c r="K231" s="79" t="s">
        <v>2158</v>
      </c>
      <c r="L231" s="84"/>
      <c r="M231" s="85">
        <v>3810</v>
      </c>
      <c r="N231" s="86" t="s">
        <v>17</v>
      </c>
      <c r="O231" s="87">
        <v>45901</v>
      </c>
      <c r="P231" s="91"/>
      <c r="Q231" s="84"/>
      <c r="R231" s="89"/>
      <c r="S231" s="90"/>
      <c r="T231" s="79"/>
      <c r="U231" s="79"/>
      <c r="V231" s="79"/>
      <c r="W231" s="79"/>
      <c r="X231" s="79"/>
      <c r="Y231" s="79"/>
      <c r="Z231" s="91"/>
      <c r="AA231" s="91"/>
      <c r="AB231" s="91"/>
      <c r="AC231" s="79"/>
      <c r="AD231" s="79"/>
      <c r="AE231" s="79"/>
      <c r="AF231" s="92"/>
      <c r="AG231" s="92"/>
      <c r="AH231" s="79"/>
      <c r="AI231" s="79"/>
      <c r="AJ231" s="92"/>
      <c r="AK231" s="79"/>
      <c r="AL231" s="79"/>
      <c r="AM231" s="92"/>
      <c r="AN231" s="92"/>
      <c r="AO231" s="92"/>
      <c r="AP231" s="92"/>
      <c r="AQ231" s="92" t="s">
        <v>2026</v>
      </c>
      <c r="AR231" s="92" t="s">
        <v>2027</v>
      </c>
      <c r="AS231" s="92" t="s">
        <v>2028</v>
      </c>
      <c r="AT231" s="79"/>
      <c r="AU231" s="79"/>
      <c r="AV231" s="92" t="e">
        <f>VLOOKUP(I231, Kiegészítő_Mátrix!C:E, 3, FALSE)</f>
        <v>#N/A</v>
      </c>
    </row>
    <row r="232" spans="1:48" ht="30" customHeight="1" x14ac:dyDescent="0.3">
      <c r="A232" s="79"/>
      <c r="B232" s="79" t="s">
        <v>368</v>
      </c>
      <c r="C232" s="79" t="s">
        <v>163</v>
      </c>
      <c r="D232" s="80" t="s">
        <v>1192</v>
      </c>
      <c r="E232" s="81" t="s">
        <v>1040</v>
      </c>
      <c r="F232" s="80" t="s">
        <v>1195</v>
      </c>
      <c r="G232" s="128" t="s">
        <v>1045</v>
      </c>
      <c r="H232" s="81" t="s">
        <v>810</v>
      </c>
      <c r="I232" s="123" t="s">
        <v>325</v>
      </c>
      <c r="J232" s="99" t="s">
        <v>326</v>
      </c>
      <c r="K232" s="99" t="s">
        <v>2159</v>
      </c>
      <c r="L232" s="101"/>
      <c r="M232" s="85"/>
      <c r="N232" s="86" t="s">
        <v>17</v>
      </c>
      <c r="O232" s="87"/>
      <c r="P232" s="91" t="s">
        <v>1094</v>
      </c>
      <c r="Q232" s="84" t="s">
        <v>17</v>
      </c>
      <c r="R232" s="89" t="s">
        <v>1136</v>
      </c>
      <c r="S232" s="90" t="s">
        <v>1130</v>
      </c>
      <c r="T232" s="79"/>
      <c r="U232" s="79"/>
      <c r="V232" s="79"/>
      <c r="W232" s="79"/>
      <c r="X232" s="79"/>
      <c r="Y232" s="79"/>
      <c r="Z232" s="91"/>
      <c r="AA232" s="91"/>
      <c r="AB232" s="91"/>
      <c r="AC232" s="79"/>
      <c r="AD232" s="79"/>
      <c r="AE232" s="79"/>
      <c r="AF232" s="92"/>
      <c r="AG232" s="92"/>
      <c r="AH232" s="79"/>
      <c r="AI232" s="79"/>
      <c r="AJ232" s="92"/>
      <c r="AK232" s="79"/>
      <c r="AL232" s="79"/>
      <c r="AM232" s="92"/>
      <c r="AN232" s="92"/>
      <c r="AO232" s="92"/>
      <c r="AP232" s="92"/>
      <c r="AQ232" s="92"/>
      <c r="AR232" s="92"/>
      <c r="AS232" s="92"/>
      <c r="AT232" s="79"/>
      <c r="AU232" s="79"/>
      <c r="AV232" s="92" t="e">
        <f>VLOOKUP(I232, Kiegészítő_Mátrix!C:E, 3, FALSE)</f>
        <v>#N/A</v>
      </c>
    </row>
    <row r="233" spans="1:48" ht="30" customHeight="1" x14ac:dyDescent="0.3">
      <c r="A233" s="79"/>
      <c r="B233" s="79" t="s">
        <v>368</v>
      </c>
      <c r="C233" s="79" t="s">
        <v>163</v>
      </c>
      <c r="D233" s="80" t="s">
        <v>1192</v>
      </c>
      <c r="E233" s="81" t="s">
        <v>1040</v>
      </c>
      <c r="F233" s="80" t="s">
        <v>1195</v>
      </c>
      <c r="G233" s="128" t="s">
        <v>1045</v>
      </c>
      <c r="H233" s="81" t="s">
        <v>810</v>
      </c>
      <c r="I233" s="131">
        <v>1116748</v>
      </c>
      <c r="J233" s="126" t="s">
        <v>271</v>
      </c>
      <c r="K233" s="126" t="s">
        <v>2158</v>
      </c>
      <c r="L233" s="101" t="s">
        <v>16</v>
      </c>
      <c r="M233" s="120">
        <v>11430</v>
      </c>
      <c r="N233" s="86" t="s">
        <v>17</v>
      </c>
      <c r="O233" s="87">
        <v>44991</v>
      </c>
      <c r="P233" s="91" t="s">
        <v>1094</v>
      </c>
      <c r="Q233" s="84" t="s">
        <v>17</v>
      </c>
      <c r="R233" s="89" t="s">
        <v>1120</v>
      </c>
      <c r="S233" s="90" t="s">
        <v>1121</v>
      </c>
      <c r="T233" s="79"/>
      <c r="U233" s="79"/>
      <c r="V233" s="79"/>
      <c r="W233" s="79"/>
      <c r="X233" s="79"/>
      <c r="Y233" s="79"/>
      <c r="Z233" s="91"/>
      <c r="AA233" s="91"/>
      <c r="AB233" s="91"/>
      <c r="AC233" s="79"/>
      <c r="AD233" s="79"/>
      <c r="AE233" s="79"/>
      <c r="AF233" s="92"/>
      <c r="AG233" s="92"/>
      <c r="AH233" s="79"/>
      <c r="AI233" s="79"/>
      <c r="AJ233" s="92" t="s">
        <v>1071</v>
      </c>
      <c r="AK233" s="79"/>
      <c r="AL233" s="79" t="s">
        <v>507</v>
      </c>
      <c r="AM233" s="92" t="s">
        <v>409</v>
      </c>
      <c r="AN233" s="92"/>
      <c r="AO233" s="92"/>
      <c r="AP233" s="92"/>
      <c r="AQ233" s="92" t="s">
        <v>2029</v>
      </c>
      <c r="AR233" s="92" t="s">
        <v>2030</v>
      </c>
      <c r="AS233" s="92" t="s">
        <v>2031</v>
      </c>
      <c r="AT233" s="79"/>
      <c r="AU233" s="79"/>
      <c r="AV233" s="92" t="str">
        <f>VLOOKUP(I233, Kiegészítő_Mátrix!C:E, 3, FALSE)</f>
        <v>Dreamwear kiegészítők</v>
      </c>
    </row>
    <row r="234" spans="1:48" ht="30" customHeight="1" x14ac:dyDescent="0.3">
      <c r="A234" s="79"/>
      <c r="B234" s="79" t="s">
        <v>368</v>
      </c>
      <c r="C234" s="79" t="s">
        <v>163</v>
      </c>
      <c r="D234" s="80" t="s">
        <v>1192</v>
      </c>
      <c r="E234" s="81" t="s">
        <v>1040</v>
      </c>
      <c r="F234" s="80" t="s">
        <v>1195</v>
      </c>
      <c r="G234" s="128" t="s">
        <v>1045</v>
      </c>
      <c r="H234" s="81" t="s">
        <v>810</v>
      </c>
      <c r="I234" s="80" t="s">
        <v>1131</v>
      </c>
      <c r="J234" s="126" t="s">
        <v>2204</v>
      </c>
      <c r="K234" s="126"/>
      <c r="L234" s="101" t="s">
        <v>4</v>
      </c>
      <c r="M234" s="120"/>
      <c r="N234" s="86" t="s">
        <v>17</v>
      </c>
      <c r="O234" s="87"/>
      <c r="P234" s="91" t="s">
        <v>1094</v>
      </c>
      <c r="Q234" s="84" t="s">
        <v>17</v>
      </c>
      <c r="R234" s="89" t="s">
        <v>2202</v>
      </c>
      <c r="S234" s="90" t="s">
        <v>2203</v>
      </c>
      <c r="T234" s="79"/>
      <c r="U234" s="79"/>
      <c r="V234" s="79"/>
      <c r="W234" s="79"/>
      <c r="X234" s="79"/>
      <c r="Y234" s="79"/>
      <c r="Z234" s="91"/>
      <c r="AA234" s="91"/>
      <c r="AB234" s="91"/>
      <c r="AC234" s="79"/>
      <c r="AD234" s="79"/>
      <c r="AE234" s="79"/>
      <c r="AF234" s="92"/>
      <c r="AG234" s="92"/>
      <c r="AH234" s="79"/>
      <c r="AI234" s="79"/>
      <c r="AJ234" s="92" t="s">
        <v>1071</v>
      </c>
      <c r="AK234" s="79"/>
      <c r="AL234" s="79" t="s">
        <v>507</v>
      </c>
      <c r="AM234" s="92" t="s">
        <v>409</v>
      </c>
      <c r="AN234" s="92"/>
      <c r="AO234" s="92"/>
      <c r="AP234" s="92"/>
      <c r="AQ234" s="92" t="s">
        <v>2199</v>
      </c>
      <c r="AR234" s="92" t="s">
        <v>2200</v>
      </c>
      <c r="AS234" s="92" t="s">
        <v>2201</v>
      </c>
      <c r="AT234" s="79"/>
      <c r="AU234" s="79"/>
      <c r="AV234" s="92" t="e">
        <f>VLOOKUP(I234, Kiegészítő_Mátrix!C:E, 3, FALSE)</f>
        <v>#N/A</v>
      </c>
    </row>
    <row r="235" spans="1:48" ht="30" customHeight="1" x14ac:dyDescent="0.3">
      <c r="A235" s="79"/>
      <c r="B235" s="79" t="s">
        <v>368</v>
      </c>
      <c r="C235" s="79" t="s">
        <v>163</v>
      </c>
      <c r="D235" s="80" t="s">
        <v>1192</v>
      </c>
      <c r="E235" s="81" t="s">
        <v>1040</v>
      </c>
      <c r="F235" s="80" t="s">
        <v>1195</v>
      </c>
      <c r="G235" s="128" t="s">
        <v>1045</v>
      </c>
      <c r="H235" s="81" t="s">
        <v>810</v>
      </c>
      <c r="I235" s="80" t="s">
        <v>1132</v>
      </c>
      <c r="J235" s="126" t="s">
        <v>2205</v>
      </c>
      <c r="K235" s="126"/>
      <c r="L235" s="101" t="s">
        <v>4</v>
      </c>
      <c r="M235" s="120"/>
      <c r="N235" s="86" t="s">
        <v>17</v>
      </c>
      <c r="O235" s="87"/>
      <c r="P235" s="91" t="s">
        <v>1094</v>
      </c>
      <c r="Q235" s="84" t="s">
        <v>17</v>
      </c>
      <c r="R235" s="89" t="s">
        <v>2206</v>
      </c>
      <c r="S235" s="90" t="s">
        <v>2207</v>
      </c>
      <c r="T235" s="79"/>
      <c r="U235" s="79"/>
      <c r="V235" s="79"/>
      <c r="W235" s="79"/>
      <c r="X235" s="79"/>
      <c r="Y235" s="79"/>
      <c r="Z235" s="91"/>
      <c r="AA235" s="91"/>
      <c r="AB235" s="91"/>
      <c r="AC235" s="79"/>
      <c r="AD235" s="79"/>
      <c r="AE235" s="79"/>
      <c r="AF235" s="92"/>
      <c r="AG235" s="92"/>
      <c r="AH235" s="79"/>
      <c r="AI235" s="79"/>
      <c r="AJ235" s="92" t="s">
        <v>1071</v>
      </c>
      <c r="AK235" s="79"/>
      <c r="AL235" s="79" t="s">
        <v>507</v>
      </c>
      <c r="AM235" s="92" t="s">
        <v>409</v>
      </c>
      <c r="AN235" s="92" t="s">
        <v>2229</v>
      </c>
      <c r="AO235" s="92" t="s">
        <v>2230</v>
      </c>
      <c r="AP235" s="92"/>
      <c r="AQ235" s="92" t="s">
        <v>2208</v>
      </c>
      <c r="AR235" s="92" t="s">
        <v>2209</v>
      </c>
      <c r="AS235" s="92" t="s">
        <v>2210</v>
      </c>
      <c r="AT235" s="79"/>
      <c r="AU235" s="79"/>
      <c r="AV235" s="92" t="e">
        <f>VLOOKUP(I235, Kiegészítő_Mátrix!C:E, 3, FALSE)</f>
        <v>#N/A</v>
      </c>
    </row>
    <row r="236" spans="1:48" ht="30" customHeight="1" x14ac:dyDescent="0.3">
      <c r="A236" s="79"/>
      <c r="B236" s="79" t="s">
        <v>368</v>
      </c>
      <c r="C236" s="79" t="s">
        <v>163</v>
      </c>
      <c r="D236" s="80" t="s">
        <v>1192</v>
      </c>
      <c r="E236" s="81" t="s">
        <v>1040</v>
      </c>
      <c r="F236" s="80" t="s">
        <v>1195</v>
      </c>
      <c r="G236" s="128" t="s">
        <v>1045</v>
      </c>
      <c r="H236" s="81" t="s">
        <v>810</v>
      </c>
      <c r="I236" s="80" t="s">
        <v>1133</v>
      </c>
      <c r="J236" s="126" t="s">
        <v>2218</v>
      </c>
      <c r="K236" s="126"/>
      <c r="L236" s="101" t="s">
        <v>4</v>
      </c>
      <c r="M236" s="120"/>
      <c r="N236" s="86" t="s">
        <v>17</v>
      </c>
      <c r="O236" s="87"/>
      <c r="P236" s="91" t="s">
        <v>1094</v>
      </c>
      <c r="Q236" s="84" t="s">
        <v>17</v>
      </c>
      <c r="R236" s="89" t="s">
        <v>2219</v>
      </c>
      <c r="S236" s="90" t="s">
        <v>2220</v>
      </c>
      <c r="T236" s="79"/>
      <c r="U236" s="79"/>
      <c r="V236" s="79"/>
      <c r="W236" s="79"/>
      <c r="X236" s="79"/>
      <c r="Y236" s="79"/>
      <c r="Z236" s="91"/>
      <c r="AA236" s="91"/>
      <c r="AB236" s="91"/>
      <c r="AC236" s="79"/>
      <c r="AD236" s="79"/>
      <c r="AE236" s="79"/>
      <c r="AF236" s="92"/>
      <c r="AG236" s="92"/>
      <c r="AH236" s="79"/>
      <c r="AI236" s="79"/>
      <c r="AJ236" s="92" t="s">
        <v>1071</v>
      </c>
      <c r="AK236" s="79"/>
      <c r="AL236" s="79" t="s">
        <v>507</v>
      </c>
      <c r="AM236" s="92" t="s">
        <v>409</v>
      </c>
      <c r="AN236" s="92"/>
      <c r="AO236" s="92"/>
      <c r="AP236" s="92"/>
      <c r="AQ236" s="92" t="s">
        <v>2221</v>
      </c>
      <c r="AR236" s="92" t="s">
        <v>2222</v>
      </c>
      <c r="AS236" s="92" t="s">
        <v>2223</v>
      </c>
      <c r="AT236" s="79"/>
      <c r="AU236" s="79"/>
      <c r="AV236" s="92" t="e">
        <f>VLOOKUP(I236, Kiegészítő_Mátrix!C:E, 3, FALSE)</f>
        <v>#N/A</v>
      </c>
    </row>
    <row r="237" spans="1:48" ht="30" customHeight="1" x14ac:dyDescent="0.3">
      <c r="A237" s="79"/>
      <c r="B237" s="79" t="s">
        <v>368</v>
      </c>
      <c r="C237" s="79" t="s">
        <v>163</v>
      </c>
      <c r="D237" s="80" t="s">
        <v>1192</v>
      </c>
      <c r="E237" s="81" t="s">
        <v>1040</v>
      </c>
      <c r="F237" s="80" t="s">
        <v>1195</v>
      </c>
      <c r="G237" s="128" t="s">
        <v>1045</v>
      </c>
      <c r="H237" s="81" t="s">
        <v>810</v>
      </c>
      <c r="I237" s="80" t="s">
        <v>1134</v>
      </c>
      <c r="J237" s="126" t="s">
        <v>2217</v>
      </c>
      <c r="K237" s="126"/>
      <c r="L237" s="101" t="s">
        <v>4</v>
      </c>
      <c r="M237" s="120"/>
      <c r="N237" s="86" t="s">
        <v>17</v>
      </c>
      <c r="O237" s="87"/>
      <c r="P237" s="91" t="s">
        <v>1094</v>
      </c>
      <c r="Q237" s="84" t="s">
        <v>17</v>
      </c>
      <c r="R237" s="89" t="s">
        <v>2224</v>
      </c>
      <c r="S237" s="90" t="s">
        <v>2225</v>
      </c>
      <c r="T237" s="79"/>
      <c r="U237" s="79"/>
      <c r="V237" s="79"/>
      <c r="W237" s="79"/>
      <c r="X237" s="79"/>
      <c r="Y237" s="79"/>
      <c r="Z237" s="91"/>
      <c r="AA237" s="91"/>
      <c r="AB237" s="91"/>
      <c r="AC237" s="79"/>
      <c r="AD237" s="79"/>
      <c r="AE237" s="79"/>
      <c r="AF237" s="92"/>
      <c r="AG237" s="92"/>
      <c r="AH237" s="79"/>
      <c r="AI237" s="79"/>
      <c r="AJ237" s="92" t="s">
        <v>1071</v>
      </c>
      <c r="AK237" s="79"/>
      <c r="AL237" s="79" t="s">
        <v>507</v>
      </c>
      <c r="AM237" s="92" t="s">
        <v>409</v>
      </c>
      <c r="AN237" s="92"/>
      <c r="AO237" s="92"/>
      <c r="AP237" s="92"/>
      <c r="AQ237" s="92" t="s">
        <v>2226</v>
      </c>
      <c r="AR237" s="92" t="s">
        <v>2227</v>
      </c>
      <c r="AS237" s="92" t="s">
        <v>2228</v>
      </c>
      <c r="AT237" s="79"/>
      <c r="AU237" s="79"/>
      <c r="AV237" s="92" t="e">
        <f>VLOOKUP(I237, Kiegészítő_Mátrix!C:E, 3, FALSE)</f>
        <v>#N/A</v>
      </c>
    </row>
    <row r="238" spans="1:48" ht="30" customHeight="1" x14ac:dyDescent="0.3">
      <c r="A238" s="79"/>
      <c r="B238" s="79" t="s">
        <v>368</v>
      </c>
      <c r="C238" s="79" t="s">
        <v>163</v>
      </c>
      <c r="D238" s="80" t="s">
        <v>1192</v>
      </c>
      <c r="E238" s="81" t="s">
        <v>1040</v>
      </c>
      <c r="F238" s="80" t="s">
        <v>1195</v>
      </c>
      <c r="G238" s="128" t="s">
        <v>1045</v>
      </c>
      <c r="H238" s="81" t="s">
        <v>810</v>
      </c>
      <c r="I238" s="80" t="s">
        <v>1135</v>
      </c>
      <c r="J238" s="126" t="s">
        <v>2211</v>
      </c>
      <c r="K238" s="126"/>
      <c r="L238" s="101" t="s">
        <v>4</v>
      </c>
      <c r="M238" s="120"/>
      <c r="N238" s="86" t="s">
        <v>17</v>
      </c>
      <c r="O238" s="87"/>
      <c r="P238" s="91" t="s">
        <v>1094</v>
      </c>
      <c r="Q238" s="84" t="s">
        <v>17</v>
      </c>
      <c r="R238" s="89" t="s">
        <v>2212</v>
      </c>
      <c r="S238" s="90" t="s">
        <v>2213</v>
      </c>
      <c r="T238" s="79"/>
      <c r="U238" s="79"/>
      <c r="V238" s="79"/>
      <c r="W238" s="79"/>
      <c r="X238" s="79"/>
      <c r="Y238" s="79"/>
      <c r="Z238" s="91"/>
      <c r="AA238" s="91"/>
      <c r="AB238" s="91"/>
      <c r="AC238" s="79"/>
      <c r="AD238" s="79"/>
      <c r="AE238" s="79"/>
      <c r="AF238" s="92"/>
      <c r="AG238" s="92"/>
      <c r="AH238" s="79"/>
      <c r="AI238" s="79"/>
      <c r="AJ238" s="92" t="s">
        <v>1071</v>
      </c>
      <c r="AK238" s="79"/>
      <c r="AL238" s="79" t="s">
        <v>507</v>
      </c>
      <c r="AM238" s="92" t="s">
        <v>409</v>
      </c>
      <c r="AN238" s="92"/>
      <c r="AO238" s="92"/>
      <c r="AP238" s="92"/>
      <c r="AQ238" s="92" t="s">
        <v>2214</v>
      </c>
      <c r="AR238" s="92" t="s">
        <v>2215</v>
      </c>
      <c r="AS238" s="92" t="s">
        <v>2216</v>
      </c>
      <c r="AT238" s="79"/>
      <c r="AU238" s="79"/>
      <c r="AV238" s="92" t="e">
        <f>VLOOKUP(I238, Kiegészítő_Mátrix!C:E, 3, FALSE)</f>
        <v>#N/A</v>
      </c>
    </row>
    <row r="239" spans="1:48" x14ac:dyDescent="0.3">
      <c r="A239" s="79"/>
      <c r="B239" s="79"/>
      <c r="C239" s="79"/>
      <c r="D239" s="80"/>
      <c r="E239" s="81"/>
      <c r="F239" s="80"/>
      <c r="G239" s="80"/>
      <c r="H239" s="81"/>
      <c r="I239" s="83"/>
      <c r="J239" s="79"/>
      <c r="K239" s="79"/>
      <c r="L239" s="84"/>
      <c r="M239" s="85"/>
      <c r="N239" s="86"/>
      <c r="O239" s="87"/>
      <c r="P239" s="91"/>
      <c r="Q239" s="84"/>
      <c r="R239" s="89"/>
      <c r="S239" s="90"/>
      <c r="T239" s="79"/>
      <c r="U239" s="79"/>
      <c r="V239" s="79"/>
      <c r="W239" s="79"/>
      <c r="X239" s="79"/>
      <c r="Y239" s="79"/>
      <c r="Z239" s="91"/>
      <c r="AA239" s="91"/>
      <c r="AB239" s="91"/>
      <c r="AC239" s="79"/>
      <c r="AD239" s="79"/>
      <c r="AE239" s="79"/>
      <c r="AF239" s="92"/>
      <c r="AG239" s="92"/>
      <c r="AH239" s="79"/>
      <c r="AI239" s="79"/>
      <c r="AJ239" s="92"/>
      <c r="AK239" s="79"/>
      <c r="AL239" s="79"/>
      <c r="AM239" s="92"/>
      <c r="AN239" s="92"/>
      <c r="AO239" s="92"/>
      <c r="AP239" s="92"/>
      <c r="AQ239" s="92"/>
      <c r="AR239" s="92"/>
      <c r="AS239" s="92"/>
      <c r="AT239" s="79"/>
      <c r="AU239" s="79"/>
      <c r="AV239" s="92" t="e">
        <f>VLOOKUP(I239, Kiegészítő_Mátrix!C:E, 3, FALSE)</f>
        <v>#N/A</v>
      </c>
    </row>
    <row r="240" spans="1:48" ht="30" customHeight="1" x14ac:dyDescent="0.3">
      <c r="A240" s="79"/>
      <c r="B240" s="79" t="s">
        <v>368</v>
      </c>
      <c r="C240" s="79" t="s">
        <v>163</v>
      </c>
      <c r="D240" s="80" t="s">
        <v>1197</v>
      </c>
      <c r="E240" s="81" t="s">
        <v>375</v>
      </c>
      <c r="F240" s="80"/>
      <c r="G240" s="80"/>
      <c r="H240" s="81" t="s">
        <v>818</v>
      </c>
      <c r="I240" s="80" t="s">
        <v>286</v>
      </c>
      <c r="J240" s="79" t="s">
        <v>287</v>
      </c>
      <c r="K240" s="79" t="s">
        <v>2158</v>
      </c>
      <c r="L240" s="84"/>
      <c r="M240" s="85">
        <v>3175</v>
      </c>
      <c r="N240" s="86" t="s">
        <v>17</v>
      </c>
      <c r="O240" s="87">
        <v>40528</v>
      </c>
      <c r="P240" s="91" t="s">
        <v>1094</v>
      </c>
      <c r="Q240" s="84" t="s">
        <v>5</v>
      </c>
      <c r="R240" s="89" t="s">
        <v>1137</v>
      </c>
      <c r="S240" s="90" t="s">
        <v>1138</v>
      </c>
      <c r="T240" s="79"/>
      <c r="U240" s="79"/>
      <c r="V240" s="79"/>
      <c r="W240" s="79"/>
      <c r="X240" s="79"/>
      <c r="Y240" s="79"/>
      <c r="Z240" s="91"/>
      <c r="AA240" s="91"/>
      <c r="AB240" s="91"/>
      <c r="AC240" s="79"/>
      <c r="AD240" s="79"/>
      <c r="AE240" s="79"/>
      <c r="AF240" s="92"/>
      <c r="AG240" s="92"/>
      <c r="AH240" s="79"/>
      <c r="AI240" s="79"/>
      <c r="AJ240" s="92" t="s">
        <v>1146</v>
      </c>
      <c r="AK240" s="79"/>
      <c r="AL240" s="79" t="s">
        <v>507</v>
      </c>
      <c r="AM240" s="92" t="s">
        <v>409</v>
      </c>
      <c r="AN240" s="92" t="s">
        <v>1148</v>
      </c>
      <c r="AO240" s="92" t="s">
        <v>1149</v>
      </c>
      <c r="AP240" s="92"/>
      <c r="AQ240" s="92" t="s">
        <v>2047</v>
      </c>
      <c r="AR240" s="92" t="s">
        <v>2048</v>
      </c>
      <c r="AS240" s="92" t="s">
        <v>2049</v>
      </c>
      <c r="AT240" s="79"/>
      <c r="AU240" s="79"/>
      <c r="AV240" s="92" t="str">
        <f>VLOOKUP(I240, Kiegészítő_Mátrix!C:E, 3, FALSE)</f>
        <v>Prismakiegészítő k;Dreamstation1 kiegészítők;Dreamstation2 kiegészítők;Somnobalance kiegészítők</v>
      </c>
    </row>
    <row r="241" spans="1:48" ht="30" customHeight="1" x14ac:dyDescent="0.3">
      <c r="A241" s="79"/>
      <c r="B241" s="79" t="s">
        <v>368</v>
      </c>
      <c r="C241" s="79" t="s">
        <v>163</v>
      </c>
      <c r="D241" s="80" t="s">
        <v>1197</v>
      </c>
      <c r="E241" s="81" t="s">
        <v>375</v>
      </c>
      <c r="F241" s="80"/>
      <c r="G241" s="80"/>
      <c r="H241" s="81" t="s">
        <v>819</v>
      </c>
      <c r="I241" s="80" t="s">
        <v>288</v>
      </c>
      <c r="J241" s="79" t="s">
        <v>289</v>
      </c>
      <c r="K241" s="79" t="s">
        <v>2158</v>
      </c>
      <c r="L241" s="84" t="s">
        <v>4</v>
      </c>
      <c r="M241" s="85">
        <v>12700</v>
      </c>
      <c r="N241" s="86" t="s">
        <v>17</v>
      </c>
      <c r="O241" s="87">
        <v>42644</v>
      </c>
      <c r="P241" s="91"/>
      <c r="Q241" s="84" t="s">
        <v>5</v>
      </c>
      <c r="R241" s="89" t="s">
        <v>1139</v>
      </c>
      <c r="S241" s="90" t="s">
        <v>1140</v>
      </c>
      <c r="T241" s="79"/>
      <c r="U241" s="79"/>
      <c r="V241" s="79"/>
      <c r="W241" s="79"/>
      <c r="X241" s="79"/>
      <c r="Y241" s="79"/>
      <c r="Z241" s="91"/>
      <c r="AA241" s="91"/>
      <c r="AB241" s="91"/>
      <c r="AC241" s="79"/>
      <c r="AD241" s="79"/>
      <c r="AE241" s="79"/>
      <c r="AF241" s="92"/>
      <c r="AG241" s="92"/>
      <c r="AH241" s="79"/>
      <c r="AI241" s="79"/>
      <c r="AJ241" s="92" t="s">
        <v>1147</v>
      </c>
      <c r="AK241" s="79"/>
      <c r="AL241" s="79" t="s">
        <v>507</v>
      </c>
      <c r="AM241" s="92" t="s">
        <v>409</v>
      </c>
      <c r="AN241" s="92" t="s">
        <v>1150</v>
      </c>
      <c r="AO241" s="92" t="s">
        <v>1151</v>
      </c>
      <c r="AP241" s="92"/>
      <c r="AQ241" s="92" t="s">
        <v>2050</v>
      </c>
      <c r="AR241" s="92" t="s">
        <v>2051</v>
      </c>
      <c r="AS241" s="92" t="s">
        <v>2052</v>
      </c>
      <c r="AT241" s="79"/>
      <c r="AU241" s="79"/>
      <c r="AV241" s="92" t="str">
        <f>VLOOKUP(I241, Kiegészítő_Mátrix!C:E, 3, FALSE)</f>
        <v>Prisma kiegészítők;Somnobalance kiegészítők</v>
      </c>
    </row>
    <row r="242" spans="1:48" ht="30" customHeight="1" x14ac:dyDescent="0.3">
      <c r="A242" s="79"/>
      <c r="B242" s="79" t="s">
        <v>368</v>
      </c>
      <c r="C242" s="79" t="s">
        <v>163</v>
      </c>
      <c r="D242" s="80" t="s">
        <v>1197</v>
      </c>
      <c r="E242" s="81" t="s">
        <v>375</v>
      </c>
      <c r="F242" s="80"/>
      <c r="G242" s="80"/>
      <c r="H242" s="81" t="s">
        <v>1388</v>
      </c>
      <c r="I242" s="80" t="s">
        <v>290</v>
      </c>
      <c r="J242" s="79" t="s">
        <v>291</v>
      </c>
      <c r="K242" s="79" t="s">
        <v>2158</v>
      </c>
      <c r="L242" s="84" t="s">
        <v>16</v>
      </c>
      <c r="M242" s="85">
        <v>12700</v>
      </c>
      <c r="N242" s="86" t="s">
        <v>17</v>
      </c>
      <c r="O242" s="87">
        <v>42948</v>
      </c>
      <c r="P242" s="91"/>
      <c r="Q242" s="101" t="s">
        <v>17</v>
      </c>
      <c r="R242" s="89" t="s">
        <v>1141</v>
      </c>
      <c r="S242" s="90" t="s">
        <v>1142</v>
      </c>
      <c r="T242" s="79"/>
      <c r="U242" s="79"/>
      <c r="V242" s="79"/>
      <c r="W242" s="79"/>
      <c r="X242" s="79"/>
      <c r="Y242" s="79"/>
      <c r="Z242" s="91"/>
      <c r="AA242" s="91"/>
      <c r="AB242" s="91"/>
      <c r="AC242" s="79"/>
      <c r="AD242" s="79"/>
      <c r="AE242" s="79"/>
      <c r="AF242" s="92"/>
      <c r="AG242" s="92"/>
      <c r="AH242" s="79"/>
      <c r="AI242" s="79"/>
      <c r="AJ242" s="92" t="s">
        <v>1147</v>
      </c>
      <c r="AK242" s="79"/>
      <c r="AL242" s="79" t="s">
        <v>507</v>
      </c>
      <c r="AM242" s="92" t="s">
        <v>409</v>
      </c>
      <c r="AN242" s="92" t="s">
        <v>1152</v>
      </c>
      <c r="AO242" s="92" t="s">
        <v>1153</v>
      </c>
      <c r="AP242" s="92"/>
      <c r="AQ242" s="92" t="s">
        <v>2032</v>
      </c>
      <c r="AR242" s="92" t="s">
        <v>2033</v>
      </c>
      <c r="AS242" s="92" t="s">
        <v>2034</v>
      </c>
      <c r="AT242" s="79"/>
      <c r="AU242" s="79"/>
      <c r="AV242" s="92" t="str">
        <f>VLOOKUP(I242, Kiegészítő_Mátrix!C:E, 3, FALSE)</f>
        <v>Dreamstation1 kiegészítők;Dreamstation2 kiegészítők</v>
      </c>
    </row>
    <row r="243" spans="1:48" ht="30" customHeight="1" x14ac:dyDescent="0.3">
      <c r="A243" s="79"/>
      <c r="B243" s="79" t="s">
        <v>368</v>
      </c>
      <c r="C243" s="79" t="s">
        <v>163</v>
      </c>
      <c r="D243" s="80" t="s">
        <v>1197</v>
      </c>
      <c r="E243" s="81" t="s">
        <v>375</v>
      </c>
      <c r="F243" s="80"/>
      <c r="G243" s="80"/>
      <c r="H243" s="81" t="s">
        <v>820</v>
      </c>
      <c r="I243" s="80">
        <v>1032907</v>
      </c>
      <c r="J243" s="79" t="s">
        <v>292</v>
      </c>
      <c r="K243" s="79" t="s">
        <v>2158</v>
      </c>
      <c r="L243" s="84" t="s">
        <v>16</v>
      </c>
      <c r="M243" s="85">
        <v>12700</v>
      </c>
      <c r="N243" s="86" t="s">
        <v>17</v>
      </c>
      <c r="O243" s="87">
        <v>41974</v>
      </c>
      <c r="P243" s="91"/>
      <c r="Q243" s="84" t="s">
        <v>5</v>
      </c>
      <c r="R243" s="89" t="s">
        <v>1143</v>
      </c>
      <c r="S243" s="90" t="s">
        <v>1144</v>
      </c>
      <c r="T243" s="79"/>
      <c r="U243" s="79"/>
      <c r="V243" s="79"/>
      <c r="W243" s="79"/>
      <c r="X243" s="79"/>
      <c r="Y243" s="79"/>
      <c r="Z243" s="91"/>
      <c r="AA243" s="91"/>
      <c r="AB243" s="91"/>
      <c r="AC243" s="79"/>
      <c r="AD243" s="79"/>
      <c r="AE243" s="79"/>
      <c r="AF243" s="92"/>
      <c r="AG243" s="92"/>
      <c r="AH243" s="79"/>
      <c r="AI243" s="79"/>
      <c r="AJ243" s="92" t="s">
        <v>1147</v>
      </c>
      <c r="AK243" s="79"/>
      <c r="AL243" s="79" t="s">
        <v>507</v>
      </c>
      <c r="AM243" s="92" t="s">
        <v>409</v>
      </c>
      <c r="AN243" s="92" t="s">
        <v>1245</v>
      </c>
      <c r="AO243" s="92" t="s">
        <v>1151</v>
      </c>
      <c r="AP243" s="92"/>
      <c r="AQ243" s="92" t="s">
        <v>2035</v>
      </c>
      <c r="AR243" s="92" t="s">
        <v>2036</v>
      </c>
      <c r="AS243" s="92" t="s">
        <v>2037</v>
      </c>
      <c r="AT243" s="79"/>
      <c r="AU243" s="79"/>
      <c r="AV243" s="92" t="str">
        <f>VLOOKUP(I243, Kiegészítő_Mátrix!C:E, 3, FALSE)</f>
        <v>Régebbi Philips modellek tartozékai</v>
      </c>
    </row>
    <row r="244" spans="1:48" ht="30" customHeight="1" x14ac:dyDescent="0.3">
      <c r="A244" s="79"/>
      <c r="B244" s="79" t="s">
        <v>368</v>
      </c>
      <c r="C244" s="79" t="s">
        <v>163</v>
      </c>
      <c r="D244" s="80" t="s">
        <v>1197</v>
      </c>
      <c r="E244" s="81" t="s">
        <v>375</v>
      </c>
      <c r="F244" s="80"/>
      <c r="G244" s="80"/>
      <c r="H244" s="81" t="s">
        <v>821</v>
      </c>
      <c r="I244" s="123" t="s">
        <v>293</v>
      </c>
      <c r="J244" s="100" t="s">
        <v>294</v>
      </c>
      <c r="K244" s="100" t="s">
        <v>2159</v>
      </c>
      <c r="L244" s="159" t="s">
        <v>16</v>
      </c>
      <c r="M244" s="85"/>
      <c r="N244" s="86"/>
      <c r="O244" s="87">
        <v>40528</v>
      </c>
      <c r="P244" s="91"/>
      <c r="Q244" s="84" t="s">
        <v>17</v>
      </c>
      <c r="R244" s="89"/>
      <c r="S244" s="90"/>
      <c r="T244" s="79"/>
      <c r="U244" s="79"/>
      <c r="V244" s="79"/>
      <c r="W244" s="79"/>
      <c r="X244" s="79"/>
      <c r="Y244" s="79"/>
      <c r="Z244" s="91"/>
      <c r="AA244" s="91"/>
      <c r="AB244" s="91"/>
      <c r="AC244" s="79"/>
      <c r="AD244" s="79"/>
      <c r="AE244" s="79"/>
      <c r="AF244" s="92"/>
      <c r="AG244" s="92"/>
      <c r="AH244" s="79"/>
      <c r="AI244" s="79"/>
      <c r="AJ244" s="92"/>
      <c r="AK244" s="79"/>
      <c r="AL244" s="79" t="s">
        <v>507</v>
      </c>
      <c r="AM244" s="92" t="s">
        <v>409</v>
      </c>
      <c r="AN244" s="92"/>
      <c r="AO244" s="92"/>
      <c r="AP244" s="92"/>
      <c r="AQ244" s="92" t="s">
        <v>2038</v>
      </c>
      <c r="AR244" s="92" t="s">
        <v>2039</v>
      </c>
      <c r="AS244" s="92" t="s">
        <v>2040</v>
      </c>
      <c r="AT244" s="79"/>
      <c r="AU244" s="79"/>
      <c r="AV244" s="92" t="e">
        <f>VLOOKUP(I244, Kiegészítő_Mátrix!C:E, 3, FALSE)</f>
        <v>#N/A</v>
      </c>
    </row>
    <row r="245" spans="1:48" ht="30" customHeight="1" x14ac:dyDescent="0.3">
      <c r="A245" s="79"/>
      <c r="B245" s="79" t="s">
        <v>368</v>
      </c>
      <c r="C245" s="79" t="s">
        <v>163</v>
      </c>
      <c r="D245" s="80" t="s">
        <v>1197</v>
      </c>
      <c r="E245" s="81" t="s">
        <v>375</v>
      </c>
      <c r="F245" s="80"/>
      <c r="G245" s="80"/>
      <c r="H245" s="81" t="s">
        <v>1387</v>
      </c>
      <c r="I245" s="123" t="s">
        <v>295</v>
      </c>
      <c r="J245" s="100" t="s">
        <v>296</v>
      </c>
      <c r="K245" s="100" t="s">
        <v>2158</v>
      </c>
      <c r="L245" s="159" t="s">
        <v>16</v>
      </c>
      <c r="M245" s="85">
        <v>25400</v>
      </c>
      <c r="N245" s="86" t="s">
        <v>17</v>
      </c>
      <c r="O245" s="87">
        <v>43831</v>
      </c>
      <c r="P245" s="91"/>
      <c r="Q245" s="84" t="s">
        <v>5</v>
      </c>
      <c r="R245" s="89" t="s">
        <v>1157</v>
      </c>
      <c r="S245" s="90" t="s">
        <v>1154</v>
      </c>
      <c r="T245" s="79"/>
      <c r="U245" s="79"/>
      <c r="V245" s="79"/>
      <c r="W245" s="79"/>
      <c r="X245" s="79"/>
      <c r="Y245" s="79"/>
      <c r="Z245" s="91"/>
      <c r="AA245" s="91"/>
      <c r="AB245" s="91"/>
      <c r="AC245" s="79"/>
      <c r="AD245" s="79"/>
      <c r="AE245" s="79"/>
      <c r="AF245" s="92"/>
      <c r="AG245" s="92"/>
      <c r="AH245" s="79"/>
      <c r="AI245" s="79"/>
      <c r="AJ245" s="92" t="s">
        <v>1147</v>
      </c>
      <c r="AK245" s="79"/>
      <c r="AL245" s="79" t="s">
        <v>507</v>
      </c>
      <c r="AM245" s="92" t="s">
        <v>409</v>
      </c>
      <c r="AN245" s="92" t="s">
        <v>1158</v>
      </c>
      <c r="AO245" s="92" t="s">
        <v>1159</v>
      </c>
      <c r="AP245" s="92"/>
      <c r="AQ245" s="92" t="s">
        <v>2041</v>
      </c>
      <c r="AR245" s="92" t="s">
        <v>2042</v>
      </c>
      <c r="AS245" s="92" t="s">
        <v>2043</v>
      </c>
      <c r="AT245" s="79"/>
      <c r="AU245" s="79"/>
      <c r="AV245" s="92" t="str">
        <f>VLOOKUP(I245, Kiegészítő_Mátrix!C:E, 3, FALSE)</f>
        <v>Dreamstation1 kiegészítők;Dreamstation2 kiegészítők</v>
      </c>
    </row>
    <row r="246" spans="1:48" ht="30" customHeight="1" x14ac:dyDescent="0.3">
      <c r="A246" s="79"/>
      <c r="B246" s="79" t="s">
        <v>368</v>
      </c>
      <c r="C246" s="79" t="s">
        <v>163</v>
      </c>
      <c r="D246" s="80" t="s">
        <v>1197</v>
      </c>
      <c r="E246" s="81" t="s">
        <v>375</v>
      </c>
      <c r="F246" s="98"/>
      <c r="G246" s="98"/>
      <c r="H246" s="83" t="s">
        <v>823</v>
      </c>
      <c r="I246" s="80" t="s">
        <v>450</v>
      </c>
      <c r="J246" s="126" t="s">
        <v>451</v>
      </c>
      <c r="K246" s="126"/>
      <c r="L246" s="101" t="s">
        <v>4</v>
      </c>
      <c r="M246" s="85"/>
      <c r="N246" s="86" t="s">
        <v>17</v>
      </c>
      <c r="O246" s="87"/>
      <c r="P246" s="91"/>
      <c r="Q246" s="84" t="s">
        <v>17</v>
      </c>
      <c r="R246" s="89" t="s">
        <v>1156</v>
      </c>
      <c r="S246" s="90" t="s">
        <v>1155</v>
      </c>
      <c r="T246" s="79"/>
      <c r="U246" s="79"/>
      <c r="V246" s="79"/>
      <c r="W246" s="79"/>
      <c r="X246" s="79"/>
      <c r="Y246" s="79"/>
      <c r="Z246" s="91"/>
      <c r="AA246" s="91"/>
      <c r="AB246" s="91"/>
      <c r="AC246" s="79"/>
      <c r="AD246" s="79"/>
      <c r="AE246" s="79"/>
      <c r="AF246" s="92"/>
      <c r="AG246" s="92"/>
      <c r="AH246" s="79"/>
      <c r="AI246" s="79"/>
      <c r="AJ246" s="92" t="s">
        <v>1147</v>
      </c>
      <c r="AK246" s="79"/>
      <c r="AL246" s="79" t="s">
        <v>507</v>
      </c>
      <c r="AM246" s="92" t="s">
        <v>409</v>
      </c>
      <c r="AN246" s="92" t="s">
        <v>1160</v>
      </c>
      <c r="AO246" s="92" t="s">
        <v>1161</v>
      </c>
      <c r="AP246" s="92"/>
      <c r="AQ246" s="92" t="s">
        <v>2044</v>
      </c>
      <c r="AR246" s="92" t="s">
        <v>2045</v>
      </c>
      <c r="AS246" s="92" t="s">
        <v>2046</v>
      </c>
      <c r="AT246" s="79"/>
      <c r="AU246" s="79"/>
      <c r="AV246" s="92" t="e">
        <f>VLOOKUP(I246, Kiegészítő_Mátrix!C:E, 3, FALSE)</f>
        <v>#N/A</v>
      </c>
    </row>
    <row r="247" spans="1:48" ht="30" customHeight="1" x14ac:dyDescent="0.3">
      <c r="A247" s="79"/>
      <c r="B247" s="79"/>
      <c r="C247" s="79"/>
      <c r="D247" s="98"/>
      <c r="E247" s="83"/>
      <c r="F247" s="98"/>
      <c r="G247" s="98"/>
      <c r="H247" s="83"/>
      <c r="I247" s="82"/>
      <c r="J247" s="126"/>
      <c r="K247" s="126"/>
      <c r="L247" s="101"/>
      <c r="M247" s="85"/>
      <c r="N247" s="86"/>
      <c r="O247" s="87"/>
      <c r="P247" s="91"/>
      <c r="Q247" s="84"/>
      <c r="R247" s="89"/>
      <c r="S247" s="90"/>
      <c r="T247" s="79"/>
      <c r="U247" s="79"/>
      <c r="V247" s="79"/>
      <c r="W247" s="79"/>
      <c r="X247" s="79"/>
      <c r="Y247" s="79"/>
      <c r="Z247" s="91"/>
      <c r="AA247" s="91"/>
      <c r="AB247" s="91"/>
      <c r="AC247" s="79"/>
      <c r="AD247" s="79"/>
      <c r="AE247" s="79"/>
      <c r="AF247" s="92"/>
      <c r="AG247" s="92"/>
      <c r="AH247" s="79"/>
      <c r="AI247" s="79"/>
      <c r="AJ247" s="92"/>
      <c r="AK247" s="79"/>
      <c r="AL247" s="79"/>
      <c r="AM247" s="92"/>
      <c r="AN247" s="92"/>
      <c r="AO247" s="92"/>
      <c r="AP247" s="92"/>
      <c r="AQ247" s="92"/>
      <c r="AR247" s="92"/>
      <c r="AS247" s="92"/>
      <c r="AT247" s="79"/>
      <c r="AU247" s="79"/>
      <c r="AV247" s="92" t="e">
        <f>VLOOKUP(I247, Kiegészítő_Mátrix!C:E, 3, FALSE)</f>
        <v>#N/A</v>
      </c>
    </row>
    <row r="248" spans="1:48" ht="30" customHeight="1" x14ac:dyDescent="0.3">
      <c r="A248" s="79"/>
      <c r="B248" s="79" t="s">
        <v>368</v>
      </c>
      <c r="C248" s="79" t="s">
        <v>163</v>
      </c>
      <c r="D248" s="80" t="s">
        <v>1196</v>
      </c>
      <c r="E248" s="81" t="s">
        <v>376</v>
      </c>
      <c r="F248" s="80"/>
      <c r="G248" s="80"/>
      <c r="H248" s="81" t="s">
        <v>825</v>
      </c>
      <c r="I248" s="123" t="s">
        <v>302</v>
      </c>
      <c r="J248" s="100" t="s">
        <v>303</v>
      </c>
      <c r="K248" s="100" t="s">
        <v>2158</v>
      </c>
      <c r="L248" s="159" t="s">
        <v>4</v>
      </c>
      <c r="M248" s="160">
        <v>13970</v>
      </c>
      <c r="N248" s="86" t="s">
        <v>17</v>
      </c>
      <c r="O248" s="87">
        <v>44927</v>
      </c>
      <c r="P248" s="91"/>
      <c r="Q248" s="84" t="s">
        <v>17</v>
      </c>
      <c r="R248" s="89" t="s">
        <v>1169</v>
      </c>
      <c r="S248" s="90" t="s">
        <v>1170</v>
      </c>
      <c r="T248" s="79"/>
      <c r="U248" s="79"/>
      <c r="V248" s="79"/>
      <c r="W248" s="79"/>
      <c r="X248" s="79"/>
      <c r="Y248" s="79"/>
      <c r="Z248" s="91"/>
      <c r="AA248" s="91"/>
      <c r="AB248" s="91"/>
      <c r="AC248" s="79"/>
      <c r="AD248" s="79"/>
      <c r="AE248" s="79"/>
      <c r="AF248" s="92"/>
      <c r="AG248" s="92"/>
      <c r="AH248" s="79"/>
      <c r="AI248" s="79"/>
      <c r="AJ248" s="92"/>
      <c r="AK248" s="79"/>
      <c r="AL248" s="79"/>
      <c r="AM248" s="92"/>
      <c r="AN248" s="92"/>
      <c r="AO248" s="92"/>
      <c r="AP248" s="92"/>
      <c r="AQ248" s="92" t="s">
        <v>2053</v>
      </c>
      <c r="AR248" s="92" t="s">
        <v>2054</v>
      </c>
      <c r="AS248" s="92" t="s">
        <v>2055</v>
      </c>
      <c r="AT248" s="79"/>
      <c r="AU248" s="79"/>
      <c r="AV248" s="92" t="str">
        <f>VLOOKUP(I248, Kiegészítő_Mátrix!C:E, 3, FALSE)</f>
        <v>Prisma Aqua kiegészítők</v>
      </c>
    </row>
    <row r="249" spans="1:48" ht="30" customHeight="1" x14ac:dyDescent="0.3">
      <c r="A249" s="79"/>
      <c r="B249" s="79" t="s">
        <v>368</v>
      </c>
      <c r="C249" s="79" t="s">
        <v>163</v>
      </c>
      <c r="D249" s="80" t="s">
        <v>1196</v>
      </c>
      <c r="E249" s="81" t="s">
        <v>376</v>
      </c>
      <c r="F249" s="80"/>
      <c r="G249" s="80"/>
      <c r="H249" s="81" t="s">
        <v>1292</v>
      </c>
      <c r="I249" s="80" t="s">
        <v>297</v>
      </c>
      <c r="J249" s="79" t="s">
        <v>298</v>
      </c>
      <c r="K249" s="79" t="s">
        <v>2158</v>
      </c>
      <c r="L249" s="84" t="s">
        <v>4</v>
      </c>
      <c r="M249" s="85">
        <v>5730</v>
      </c>
      <c r="N249" s="86" t="s">
        <v>17</v>
      </c>
      <c r="O249" s="87">
        <v>42186</v>
      </c>
      <c r="P249" s="91"/>
      <c r="Q249" s="101" t="s">
        <v>17</v>
      </c>
      <c r="R249" s="89" t="s">
        <v>1162</v>
      </c>
      <c r="S249" s="90" t="s">
        <v>1163</v>
      </c>
      <c r="T249" s="79"/>
      <c r="U249" s="79"/>
      <c r="V249" s="79"/>
      <c r="W249" s="79"/>
      <c r="X249" s="79"/>
      <c r="Y249" s="79"/>
      <c r="Z249" s="91"/>
      <c r="AA249" s="91"/>
      <c r="AB249" s="91"/>
      <c r="AC249" s="79"/>
      <c r="AD249" s="79"/>
      <c r="AE249" s="79"/>
      <c r="AF249" s="92"/>
      <c r="AG249" s="92"/>
      <c r="AH249" s="79"/>
      <c r="AI249" s="79"/>
      <c r="AJ249" s="92" t="s">
        <v>1167</v>
      </c>
      <c r="AK249" s="79"/>
      <c r="AL249" s="79" t="s">
        <v>507</v>
      </c>
      <c r="AM249" s="92" t="s">
        <v>409</v>
      </c>
      <c r="AN249" s="92" t="s">
        <v>66</v>
      </c>
      <c r="AO249" s="92" t="s">
        <v>1166</v>
      </c>
      <c r="AP249" s="92"/>
      <c r="AQ249" s="92" t="s">
        <v>2056</v>
      </c>
      <c r="AR249" s="92" t="s">
        <v>2057</v>
      </c>
      <c r="AS249" s="92" t="s">
        <v>2058</v>
      </c>
      <c r="AT249" s="79"/>
      <c r="AU249" s="79"/>
      <c r="AV249" s="92" t="str">
        <f>VLOOKUP(I249, Kiegészítő_Mátrix!C:E, 3, FALSE)</f>
        <v>Somnobalance kiegészítők</v>
      </c>
    </row>
    <row r="250" spans="1:48" ht="30" customHeight="1" x14ac:dyDescent="0.3">
      <c r="A250" s="79"/>
      <c r="B250" s="79" t="s">
        <v>368</v>
      </c>
      <c r="C250" s="79" t="s">
        <v>163</v>
      </c>
      <c r="D250" s="80" t="s">
        <v>1196</v>
      </c>
      <c r="E250" s="81" t="s">
        <v>376</v>
      </c>
      <c r="F250" s="80"/>
      <c r="G250" s="80"/>
      <c r="H250" s="81" t="s">
        <v>1293</v>
      </c>
      <c r="I250" s="80" t="s">
        <v>1326</v>
      </c>
      <c r="J250" s="79" t="s">
        <v>300</v>
      </c>
      <c r="K250" s="79" t="s">
        <v>2158</v>
      </c>
      <c r="L250" s="84" t="s">
        <v>4</v>
      </c>
      <c r="M250" s="85">
        <v>4064</v>
      </c>
      <c r="N250" s="86" t="s">
        <v>17</v>
      </c>
      <c r="O250" s="87">
        <v>42186</v>
      </c>
      <c r="P250" s="91"/>
      <c r="Q250" s="101" t="s">
        <v>17</v>
      </c>
      <c r="R250" s="89" t="s">
        <v>1164</v>
      </c>
      <c r="S250" s="90" t="s">
        <v>1165</v>
      </c>
      <c r="T250" s="79"/>
      <c r="U250" s="79"/>
      <c r="V250" s="79"/>
      <c r="W250" s="79"/>
      <c r="X250" s="79"/>
      <c r="Y250" s="79"/>
      <c r="Z250" s="91"/>
      <c r="AA250" s="91"/>
      <c r="AB250" s="91"/>
      <c r="AC250" s="79"/>
      <c r="AD250" s="79"/>
      <c r="AE250" s="79"/>
      <c r="AF250" s="92"/>
      <c r="AG250" s="92"/>
      <c r="AH250" s="79"/>
      <c r="AI250" s="79"/>
      <c r="AJ250" s="92" t="s">
        <v>1168</v>
      </c>
      <c r="AK250" s="79"/>
      <c r="AL250" s="79" t="s">
        <v>507</v>
      </c>
      <c r="AM250" s="92" t="s">
        <v>409</v>
      </c>
      <c r="AN250" s="92" t="s">
        <v>66</v>
      </c>
      <c r="AO250" s="92" t="s">
        <v>1166</v>
      </c>
      <c r="AP250" s="92"/>
      <c r="AQ250" s="92" t="s">
        <v>2059</v>
      </c>
      <c r="AR250" s="92" t="s">
        <v>2060</v>
      </c>
      <c r="AS250" s="92" t="s">
        <v>2061</v>
      </c>
      <c r="AT250" s="79"/>
      <c r="AU250" s="79"/>
      <c r="AV250" s="92" t="e">
        <f>VLOOKUP(I250, Kiegészítő_Mátrix!C:E, 3, FALSE)</f>
        <v>#N/A</v>
      </c>
    </row>
    <row r="251" spans="1:48" ht="30" customHeight="1" x14ac:dyDescent="0.3">
      <c r="A251" s="79"/>
      <c r="B251" s="79" t="s">
        <v>368</v>
      </c>
      <c r="C251" s="79" t="s">
        <v>163</v>
      </c>
      <c r="D251" s="80" t="s">
        <v>1196</v>
      </c>
      <c r="E251" s="81" t="s">
        <v>376</v>
      </c>
      <c r="F251" s="80"/>
      <c r="G251" s="80"/>
      <c r="H251" s="81" t="s">
        <v>1291</v>
      </c>
      <c r="I251" s="165">
        <v>1120670</v>
      </c>
      <c r="J251" s="100" t="s">
        <v>1290</v>
      </c>
      <c r="K251" s="100" t="s">
        <v>2158</v>
      </c>
      <c r="L251" s="159" t="s">
        <v>16</v>
      </c>
      <c r="M251" s="85">
        <v>15240</v>
      </c>
      <c r="N251" s="86" t="s">
        <v>17</v>
      </c>
      <c r="O251" s="87">
        <v>44562</v>
      </c>
      <c r="P251" s="91"/>
      <c r="Q251" s="101" t="s">
        <v>17</v>
      </c>
      <c r="R251" s="89"/>
      <c r="S251" s="90"/>
      <c r="T251" s="79"/>
      <c r="U251" s="79"/>
      <c r="V251" s="79"/>
      <c r="W251" s="79"/>
      <c r="X251" s="79"/>
      <c r="Y251" s="79"/>
      <c r="Z251" s="91"/>
      <c r="AA251" s="91"/>
      <c r="AB251" s="91"/>
      <c r="AC251" s="79"/>
      <c r="AD251" s="79"/>
      <c r="AE251" s="79"/>
      <c r="AF251" s="92"/>
      <c r="AG251" s="92"/>
      <c r="AH251" s="79"/>
      <c r="AI251" s="79"/>
      <c r="AJ251" s="92"/>
      <c r="AK251" s="79"/>
      <c r="AL251" s="79"/>
      <c r="AM251" s="92"/>
      <c r="AN251" s="92"/>
      <c r="AO251" s="92"/>
      <c r="AP251" s="92"/>
      <c r="AQ251" s="92" t="s">
        <v>2062</v>
      </c>
      <c r="AR251" s="92" t="s">
        <v>2063</v>
      </c>
      <c r="AS251" s="92" t="s">
        <v>2064</v>
      </c>
      <c r="AT251" s="79"/>
      <c r="AU251" s="79"/>
      <c r="AV251" s="92" t="e">
        <f>VLOOKUP(I251, Kiegészítő_Mátrix!C:E, 3, FALSE)</f>
        <v>#N/A</v>
      </c>
    </row>
    <row r="252" spans="1:48" ht="30" customHeight="1" x14ac:dyDescent="0.3">
      <c r="A252" s="79"/>
      <c r="B252" s="79" t="s">
        <v>368</v>
      </c>
      <c r="C252" s="79" t="s">
        <v>163</v>
      </c>
      <c r="D252" s="80" t="s">
        <v>1196</v>
      </c>
      <c r="E252" s="81" t="s">
        <v>376</v>
      </c>
      <c r="F252" s="98"/>
      <c r="G252" s="98"/>
      <c r="H252" s="81" t="s">
        <v>1327</v>
      </c>
      <c r="I252" s="80" t="s">
        <v>1328</v>
      </c>
      <c r="J252" s="79" t="s">
        <v>1329</v>
      </c>
      <c r="K252" s="79" t="s">
        <v>2158</v>
      </c>
      <c r="L252" s="84" t="s">
        <v>4</v>
      </c>
      <c r="M252" s="85">
        <v>12700</v>
      </c>
      <c r="N252" s="86" t="s">
        <v>17</v>
      </c>
      <c r="O252" s="87">
        <v>45658</v>
      </c>
      <c r="P252" s="91"/>
      <c r="Q252" s="101" t="s">
        <v>17</v>
      </c>
      <c r="R252" s="89" t="s">
        <v>2122</v>
      </c>
      <c r="S252" s="90" t="s">
        <v>2123</v>
      </c>
      <c r="T252" s="79"/>
      <c r="U252" s="79"/>
      <c r="V252" s="79"/>
      <c r="W252" s="79"/>
      <c r="X252" s="79"/>
      <c r="Y252" s="79"/>
      <c r="Z252" s="91"/>
      <c r="AA252" s="91"/>
      <c r="AB252" s="91"/>
      <c r="AC252" s="79"/>
      <c r="AD252" s="79"/>
      <c r="AE252" s="79"/>
      <c r="AF252" s="92"/>
      <c r="AG252" s="92"/>
      <c r="AH252" s="79"/>
      <c r="AI252" s="79"/>
      <c r="AJ252" s="92"/>
      <c r="AK252" s="79"/>
      <c r="AL252" s="79"/>
      <c r="AM252" s="92"/>
      <c r="AN252" s="92"/>
      <c r="AO252" s="92"/>
      <c r="AP252" s="92"/>
      <c r="AQ252" s="92" t="s">
        <v>2065</v>
      </c>
      <c r="AR252" s="92" t="s">
        <v>2066</v>
      </c>
      <c r="AS252" s="92" t="s">
        <v>2067</v>
      </c>
      <c r="AT252" s="79"/>
      <c r="AU252" s="79"/>
      <c r="AV252" s="92" t="e">
        <f>VLOOKUP(I252, Kiegészítő_Mátrix!C:E, 3, FALSE)</f>
        <v>#N/A</v>
      </c>
    </row>
    <row r="253" spans="1:48" ht="30" customHeight="1" x14ac:dyDescent="0.3">
      <c r="A253" s="79"/>
      <c r="B253" s="79" t="s">
        <v>368</v>
      </c>
      <c r="C253" s="79" t="s">
        <v>163</v>
      </c>
      <c r="D253" s="80" t="s">
        <v>1196</v>
      </c>
      <c r="E253" s="81" t="s">
        <v>376</v>
      </c>
      <c r="F253" s="80"/>
      <c r="G253" s="80"/>
      <c r="H253" s="81" t="s">
        <v>824</v>
      </c>
      <c r="I253" s="80">
        <v>1099590</v>
      </c>
      <c r="J253" s="79" t="s">
        <v>301</v>
      </c>
      <c r="K253" s="79" t="s">
        <v>2159</v>
      </c>
      <c r="L253" s="84" t="s">
        <v>16</v>
      </c>
      <c r="M253" s="85">
        <v>13335</v>
      </c>
      <c r="N253" s="86" t="s">
        <v>17</v>
      </c>
      <c r="O253" s="87">
        <v>42736</v>
      </c>
      <c r="P253" s="91"/>
      <c r="Q253" s="84" t="s">
        <v>5</v>
      </c>
      <c r="R253" s="89"/>
      <c r="S253" s="90"/>
      <c r="T253" s="79"/>
      <c r="U253" s="79"/>
      <c r="V253" s="79"/>
      <c r="W253" s="79"/>
      <c r="X253" s="79"/>
      <c r="Y253" s="79"/>
      <c r="Z253" s="91"/>
      <c r="AA253" s="91"/>
      <c r="AB253" s="91"/>
      <c r="AC253" s="79"/>
      <c r="AD253" s="79"/>
      <c r="AE253" s="79"/>
      <c r="AF253" s="92"/>
      <c r="AG253" s="92"/>
      <c r="AH253" s="79"/>
      <c r="AI253" s="79"/>
      <c r="AJ253" s="92"/>
      <c r="AK253" s="79"/>
      <c r="AL253" s="79"/>
      <c r="AM253" s="92"/>
      <c r="AN253" s="92"/>
      <c r="AO253" s="92"/>
      <c r="AP253" s="92"/>
      <c r="AQ253" s="92" t="s">
        <v>2068</v>
      </c>
      <c r="AR253" s="92" t="s">
        <v>2069</v>
      </c>
      <c r="AS253" s="92" t="s">
        <v>2070</v>
      </c>
      <c r="AT253" s="79"/>
      <c r="AU253" s="79"/>
      <c r="AV253" s="92" t="e">
        <f>VLOOKUP(I253, Kiegészítő_Mátrix!C:E, 3, FALSE)</f>
        <v>#N/A</v>
      </c>
    </row>
    <row r="254" spans="1:48" ht="30" customHeight="1" x14ac:dyDescent="0.3">
      <c r="A254" s="79"/>
      <c r="B254" s="79" t="s">
        <v>368</v>
      </c>
      <c r="C254" s="79" t="s">
        <v>163</v>
      </c>
      <c r="D254" s="80" t="s">
        <v>1196</v>
      </c>
      <c r="E254" s="81" t="s">
        <v>376</v>
      </c>
      <c r="F254" s="80"/>
      <c r="G254" s="80"/>
      <c r="H254" s="81" t="s">
        <v>1414</v>
      </c>
      <c r="I254" s="163">
        <v>1003757</v>
      </c>
      <c r="J254" s="81" t="s">
        <v>304</v>
      </c>
      <c r="K254" s="79" t="s">
        <v>2159</v>
      </c>
      <c r="L254" s="84" t="s">
        <v>16</v>
      </c>
      <c r="M254" s="85">
        <v>12700</v>
      </c>
      <c r="N254" s="86" t="s">
        <v>17</v>
      </c>
      <c r="O254" s="87">
        <v>40528</v>
      </c>
      <c r="P254" s="91"/>
      <c r="Q254" s="84"/>
      <c r="R254" s="89" t="s">
        <v>2085</v>
      </c>
      <c r="S254" s="90"/>
      <c r="T254" s="79"/>
      <c r="U254" s="79"/>
      <c r="V254" s="79"/>
      <c r="W254" s="79"/>
      <c r="X254" s="79"/>
      <c r="Y254" s="79"/>
      <c r="Z254" s="91"/>
      <c r="AA254" s="91"/>
      <c r="AB254" s="91"/>
      <c r="AC254" s="79"/>
      <c r="AD254" s="79"/>
      <c r="AE254" s="79"/>
      <c r="AF254" s="92"/>
      <c r="AG254" s="92"/>
      <c r="AH254" s="79"/>
      <c r="AI254" s="79"/>
      <c r="AJ254" s="92"/>
      <c r="AK254" s="79"/>
      <c r="AL254" s="79"/>
      <c r="AM254" s="92"/>
      <c r="AN254" s="92"/>
      <c r="AO254" s="92"/>
      <c r="AP254" s="92"/>
      <c r="AQ254" s="92" t="s">
        <v>2071</v>
      </c>
      <c r="AR254" s="92" t="s">
        <v>2072</v>
      </c>
      <c r="AS254" s="92" t="s">
        <v>2086</v>
      </c>
      <c r="AT254" s="79"/>
      <c r="AU254" s="79"/>
      <c r="AV254" s="92" t="e">
        <f>VLOOKUP(I254, Kiegészítő_Mátrix!C:E, 3, FALSE)</f>
        <v>#N/A</v>
      </c>
    </row>
    <row r="255" spans="1:48" x14ac:dyDescent="0.3">
      <c r="A255" s="79"/>
      <c r="B255" s="79"/>
      <c r="C255" s="79"/>
      <c r="D255" s="98"/>
      <c r="E255" s="83"/>
      <c r="F255" s="82"/>
      <c r="G255" s="82"/>
      <c r="H255" s="81"/>
      <c r="I255" s="83"/>
      <c r="J255" s="79"/>
      <c r="K255" s="79"/>
      <c r="L255" s="84"/>
      <c r="M255" s="85"/>
      <c r="N255" s="86"/>
      <c r="O255" s="87"/>
      <c r="P255" s="91"/>
      <c r="Q255" s="84"/>
      <c r="R255" s="89"/>
      <c r="S255" s="90"/>
      <c r="T255" s="79"/>
      <c r="U255" s="79"/>
      <c r="V255" s="79"/>
      <c r="W255" s="79"/>
      <c r="X255" s="79"/>
      <c r="Y255" s="79"/>
      <c r="Z255" s="91"/>
      <c r="AA255" s="91"/>
      <c r="AB255" s="91"/>
      <c r="AC255" s="79"/>
      <c r="AD255" s="79"/>
      <c r="AE255" s="79"/>
      <c r="AF255" s="92"/>
      <c r="AG255" s="92"/>
      <c r="AH255" s="79"/>
      <c r="AI255" s="79"/>
      <c r="AJ255" s="92"/>
      <c r="AK255" s="79"/>
      <c r="AL255" s="79"/>
      <c r="AM255" s="92"/>
      <c r="AN255" s="92"/>
      <c r="AO255" s="92"/>
      <c r="AP255" s="92"/>
      <c r="AQ255" s="92"/>
      <c r="AR255" s="92"/>
      <c r="AS255" s="92"/>
      <c r="AT255" s="79"/>
      <c r="AU255" s="79"/>
      <c r="AV255" s="92" t="e">
        <f>VLOOKUP(I255, Kiegészítő_Mátrix!C:E, 3, FALSE)</f>
        <v>#N/A</v>
      </c>
    </row>
    <row r="256" spans="1:48" ht="30" customHeight="1" x14ac:dyDescent="0.3">
      <c r="A256" s="79"/>
      <c r="B256" s="79" t="s">
        <v>368</v>
      </c>
      <c r="C256" s="79" t="s">
        <v>163</v>
      </c>
      <c r="D256" s="80" t="s">
        <v>1198</v>
      </c>
      <c r="E256" s="81" t="s">
        <v>1323</v>
      </c>
      <c r="F256" s="80"/>
      <c r="G256" s="80"/>
      <c r="H256" s="81" t="s">
        <v>826</v>
      </c>
      <c r="I256" s="80" t="s">
        <v>305</v>
      </c>
      <c r="J256" s="79" t="s">
        <v>306</v>
      </c>
      <c r="K256" s="79" t="s">
        <v>2158</v>
      </c>
      <c r="L256" s="84" t="s">
        <v>4</v>
      </c>
      <c r="M256" s="85">
        <v>64770</v>
      </c>
      <c r="N256" s="86" t="s">
        <v>17</v>
      </c>
      <c r="O256" s="87">
        <v>42705</v>
      </c>
      <c r="P256" s="91"/>
      <c r="Q256" s="84" t="s">
        <v>5</v>
      </c>
      <c r="R256" s="89" t="s">
        <v>1171</v>
      </c>
      <c r="S256" s="90" t="s">
        <v>1172</v>
      </c>
      <c r="T256" s="79"/>
      <c r="U256" s="79"/>
      <c r="V256" s="79"/>
      <c r="W256" s="79"/>
      <c r="X256" s="79"/>
      <c r="Y256" s="79"/>
      <c r="Z256" s="91"/>
      <c r="AA256" s="91"/>
      <c r="AB256" s="91"/>
      <c r="AC256" s="79"/>
      <c r="AD256" s="79"/>
      <c r="AE256" s="79"/>
      <c r="AF256" s="92"/>
      <c r="AG256" s="92"/>
      <c r="AH256" s="79"/>
      <c r="AI256" s="79"/>
      <c r="AJ256" s="92"/>
      <c r="AK256" s="79"/>
      <c r="AL256" s="79"/>
      <c r="AM256" s="92"/>
      <c r="AN256" s="92"/>
      <c r="AO256" s="92"/>
      <c r="AP256" s="92"/>
      <c r="AQ256" s="92" t="s">
        <v>2073</v>
      </c>
      <c r="AR256" s="92" t="s">
        <v>2074</v>
      </c>
      <c r="AS256" s="92" t="s">
        <v>2075</v>
      </c>
      <c r="AT256" s="79"/>
      <c r="AU256" s="79"/>
      <c r="AV256" s="92" t="str">
        <f>VLOOKUP(I256, Kiegészítő_Mátrix!C:E, 3, FALSE)</f>
        <v>Prisma kiegészítők</v>
      </c>
    </row>
    <row r="257" spans="1:48" ht="30" customHeight="1" x14ac:dyDescent="0.3">
      <c r="A257" s="79"/>
      <c r="B257" s="79" t="s">
        <v>368</v>
      </c>
      <c r="C257" s="79" t="s">
        <v>163</v>
      </c>
      <c r="D257" s="80" t="s">
        <v>1198</v>
      </c>
      <c r="E257" s="81" t="s">
        <v>1323</v>
      </c>
      <c r="F257" s="80"/>
      <c r="G257" s="80"/>
      <c r="H257" s="81" t="s">
        <v>827</v>
      </c>
      <c r="I257" s="80" t="s">
        <v>307</v>
      </c>
      <c r="J257" s="79" t="s">
        <v>308</v>
      </c>
      <c r="K257" s="79" t="s">
        <v>2158</v>
      </c>
      <c r="L257" s="84" t="s">
        <v>4</v>
      </c>
      <c r="M257" s="85">
        <v>41910</v>
      </c>
      <c r="N257" s="86" t="s">
        <v>17</v>
      </c>
      <c r="O257" s="87">
        <v>43435</v>
      </c>
      <c r="P257" s="91"/>
      <c r="Q257" s="101" t="s">
        <v>17</v>
      </c>
      <c r="R257" s="89" t="s">
        <v>1173</v>
      </c>
      <c r="S257" s="90" t="s">
        <v>1174</v>
      </c>
      <c r="T257" s="79"/>
      <c r="U257" s="79"/>
      <c r="V257" s="79"/>
      <c r="W257" s="79"/>
      <c r="X257" s="79"/>
      <c r="Y257" s="79"/>
      <c r="Z257" s="91"/>
      <c r="AA257" s="91"/>
      <c r="AB257" s="91"/>
      <c r="AC257" s="79"/>
      <c r="AD257" s="79"/>
      <c r="AE257" s="79"/>
      <c r="AF257" s="92"/>
      <c r="AG257" s="92"/>
      <c r="AH257" s="79"/>
      <c r="AI257" s="79"/>
      <c r="AJ257" s="92"/>
      <c r="AK257" s="79"/>
      <c r="AL257" s="79"/>
      <c r="AM257" s="92"/>
      <c r="AN257" s="92"/>
      <c r="AO257" s="92"/>
      <c r="AP257" s="92"/>
      <c r="AQ257" s="92" t="s">
        <v>2076</v>
      </c>
      <c r="AR257" s="92" t="s">
        <v>2077</v>
      </c>
      <c r="AS257" s="92" t="s">
        <v>2078</v>
      </c>
      <c r="AT257" s="79"/>
      <c r="AU257" s="79"/>
      <c r="AV257" s="92" t="str">
        <f>VLOOKUP(I257, Kiegészítő_Mátrix!C:E, 3, FALSE)</f>
        <v>Prisma kiegészítők</v>
      </c>
    </row>
    <row r="258" spans="1:48" ht="30" customHeight="1" x14ac:dyDescent="0.3">
      <c r="A258" s="79"/>
      <c r="B258" s="79" t="s">
        <v>368</v>
      </c>
      <c r="C258" s="79" t="s">
        <v>163</v>
      </c>
      <c r="D258" s="80" t="s">
        <v>1198</v>
      </c>
      <c r="E258" s="81" t="s">
        <v>1323</v>
      </c>
      <c r="F258" s="98"/>
      <c r="G258" s="98"/>
      <c r="H258" s="81" t="s">
        <v>2181</v>
      </c>
      <c r="I258" s="80" t="s">
        <v>2166</v>
      </c>
      <c r="J258" s="79" t="s">
        <v>2167</v>
      </c>
      <c r="K258" s="79"/>
      <c r="L258" s="84" t="s">
        <v>4</v>
      </c>
      <c r="M258" s="85">
        <v>160020</v>
      </c>
      <c r="N258" s="86" t="s">
        <v>17</v>
      </c>
      <c r="O258" s="87">
        <v>46204</v>
      </c>
      <c r="P258" s="91"/>
      <c r="Q258" s="101" t="s">
        <v>17</v>
      </c>
      <c r="R258" s="89" t="s">
        <v>2168</v>
      </c>
      <c r="S258" s="90" t="s">
        <v>2169</v>
      </c>
      <c r="T258" s="79"/>
      <c r="U258" s="79"/>
      <c r="V258" s="79"/>
      <c r="W258" s="79"/>
      <c r="X258" s="79"/>
      <c r="Y258" s="79"/>
      <c r="Z258" s="91"/>
      <c r="AA258" s="91"/>
      <c r="AB258" s="91"/>
      <c r="AC258" s="79"/>
      <c r="AD258" s="79"/>
      <c r="AE258" s="79"/>
      <c r="AF258" s="92"/>
      <c r="AG258" s="92"/>
      <c r="AH258" s="79"/>
      <c r="AI258" s="79"/>
      <c r="AJ258" s="92"/>
      <c r="AK258" s="79"/>
      <c r="AL258" s="79"/>
      <c r="AM258" s="92"/>
      <c r="AN258" s="92"/>
      <c r="AO258" s="92"/>
      <c r="AP258" s="92"/>
      <c r="AQ258" s="92" t="s">
        <v>2170</v>
      </c>
      <c r="AR258" s="92" t="s">
        <v>2171</v>
      </c>
      <c r="AS258" s="92" t="s">
        <v>2172</v>
      </c>
      <c r="AT258" s="79"/>
      <c r="AU258" s="79"/>
      <c r="AV258" s="92" t="e">
        <f>VLOOKUP(I258, Kiegészítő_Mátrix!C:E, 3, FALSE)</f>
        <v>#N/A</v>
      </c>
    </row>
    <row r="259" spans="1:48" ht="30" customHeight="1" x14ac:dyDescent="0.3">
      <c r="A259" s="79"/>
      <c r="B259" s="79" t="s">
        <v>368</v>
      </c>
      <c r="C259" s="79" t="s">
        <v>163</v>
      </c>
      <c r="D259" s="80" t="s">
        <v>1198</v>
      </c>
      <c r="E259" s="81" t="s">
        <v>1323</v>
      </c>
      <c r="F259" s="98"/>
      <c r="G259" s="98"/>
      <c r="H259" s="81" t="s">
        <v>2180</v>
      </c>
      <c r="I259" s="163">
        <v>1118499</v>
      </c>
      <c r="J259" s="79" t="s">
        <v>1320</v>
      </c>
      <c r="K259" s="79" t="s">
        <v>2158</v>
      </c>
      <c r="L259" s="84" t="s">
        <v>16</v>
      </c>
      <c r="M259" s="85">
        <v>27940</v>
      </c>
      <c r="N259" s="86" t="s">
        <v>17</v>
      </c>
      <c r="O259" s="87">
        <v>43647</v>
      </c>
      <c r="P259" s="91"/>
      <c r="Q259" s="101"/>
      <c r="R259" s="89" t="s">
        <v>2087</v>
      </c>
      <c r="S259" s="90" t="s">
        <v>2088</v>
      </c>
      <c r="T259" s="79"/>
      <c r="U259" s="79"/>
      <c r="V259" s="79"/>
      <c r="W259" s="79"/>
      <c r="X259" s="79"/>
      <c r="Y259" s="79"/>
      <c r="Z259" s="91"/>
      <c r="AA259" s="91"/>
      <c r="AB259" s="91"/>
      <c r="AC259" s="79"/>
      <c r="AD259" s="79"/>
      <c r="AE259" s="79"/>
      <c r="AF259" s="92"/>
      <c r="AG259" s="92"/>
      <c r="AH259" s="79"/>
      <c r="AI259" s="79"/>
      <c r="AJ259" s="92"/>
      <c r="AK259" s="79"/>
      <c r="AL259" s="79"/>
      <c r="AM259" s="92"/>
      <c r="AN259" s="92"/>
      <c r="AO259" s="92"/>
      <c r="AP259" s="92"/>
      <c r="AQ259" s="92" t="s">
        <v>2095</v>
      </c>
      <c r="AR259" s="92" t="s">
        <v>2096</v>
      </c>
      <c r="AS259" s="92" t="s">
        <v>2097</v>
      </c>
      <c r="AT259" s="79"/>
      <c r="AU259" s="79"/>
      <c r="AV259" s="92" t="e">
        <f>VLOOKUP(I259, Kiegészítő_Mátrix!C:E, 3, FALSE)</f>
        <v>#N/A</v>
      </c>
    </row>
    <row r="260" spans="1:48" ht="30" customHeight="1" x14ac:dyDescent="0.3">
      <c r="A260" s="79"/>
      <c r="B260" s="79" t="s">
        <v>368</v>
      </c>
      <c r="C260" s="79" t="s">
        <v>163</v>
      </c>
      <c r="D260" s="80" t="s">
        <v>1198</v>
      </c>
      <c r="E260" s="81" t="s">
        <v>1323</v>
      </c>
      <c r="F260" s="98"/>
      <c r="G260" s="98"/>
      <c r="H260" s="81" t="s">
        <v>2180</v>
      </c>
      <c r="I260" s="161">
        <v>1120746</v>
      </c>
      <c r="J260" s="126" t="s">
        <v>1319</v>
      </c>
      <c r="K260" s="126"/>
      <c r="L260" s="84" t="s">
        <v>16</v>
      </c>
      <c r="M260" s="85">
        <v>12700</v>
      </c>
      <c r="N260" s="86" t="s">
        <v>17</v>
      </c>
      <c r="O260" s="87">
        <v>42370</v>
      </c>
      <c r="P260" s="91"/>
      <c r="Q260" s="101"/>
      <c r="R260" s="89" t="s">
        <v>2089</v>
      </c>
      <c r="S260" s="90" t="s">
        <v>2090</v>
      </c>
      <c r="T260" s="79"/>
      <c r="U260" s="79"/>
      <c r="V260" s="79"/>
      <c r="W260" s="79"/>
      <c r="X260" s="79"/>
      <c r="Y260" s="79"/>
      <c r="Z260" s="91"/>
      <c r="AA260" s="91"/>
      <c r="AB260" s="91"/>
      <c r="AC260" s="79"/>
      <c r="AD260" s="79"/>
      <c r="AE260" s="79"/>
      <c r="AF260" s="92"/>
      <c r="AG260" s="92"/>
      <c r="AH260" s="79"/>
      <c r="AI260" s="79"/>
      <c r="AJ260" s="92"/>
      <c r="AK260" s="79"/>
      <c r="AL260" s="79"/>
      <c r="AM260" s="92"/>
      <c r="AN260" s="92"/>
      <c r="AO260" s="92"/>
      <c r="AP260" s="92"/>
      <c r="AQ260" s="92" t="s">
        <v>2098</v>
      </c>
      <c r="AR260" s="92" t="s">
        <v>2099</v>
      </c>
      <c r="AS260" s="92" t="s">
        <v>2100</v>
      </c>
      <c r="AT260" s="79"/>
      <c r="AU260" s="79"/>
      <c r="AV260" s="92" t="e">
        <f>VLOOKUP(I260, Kiegészítő_Mátrix!C:E, 3, FALSE)</f>
        <v>#N/A</v>
      </c>
    </row>
    <row r="261" spans="1:48" ht="30" customHeight="1" x14ac:dyDescent="0.3">
      <c r="A261" s="79"/>
      <c r="B261" s="79" t="s">
        <v>368</v>
      </c>
      <c r="C261" s="79" t="s">
        <v>163</v>
      </c>
      <c r="D261" s="80" t="s">
        <v>1198</v>
      </c>
      <c r="E261" s="81" t="s">
        <v>1323</v>
      </c>
      <c r="F261" s="80"/>
      <c r="G261" s="80"/>
      <c r="H261" s="81" t="s">
        <v>828</v>
      </c>
      <c r="I261" s="80" t="s">
        <v>309</v>
      </c>
      <c r="J261" s="79" t="s">
        <v>310</v>
      </c>
      <c r="K261" s="79" t="s">
        <v>2158</v>
      </c>
      <c r="L261" s="84" t="s">
        <v>4</v>
      </c>
      <c r="M261" s="85">
        <v>35052</v>
      </c>
      <c r="N261" s="86" t="s">
        <v>17</v>
      </c>
      <c r="O261" s="87">
        <v>43435</v>
      </c>
      <c r="P261" s="91"/>
      <c r="Q261" s="84" t="s">
        <v>5</v>
      </c>
      <c r="R261" s="89" t="s">
        <v>1175</v>
      </c>
      <c r="S261" s="90" t="s">
        <v>1176</v>
      </c>
      <c r="T261" s="79"/>
      <c r="U261" s="79"/>
      <c r="V261" s="79"/>
      <c r="W261" s="79"/>
      <c r="X261" s="79"/>
      <c r="Y261" s="79"/>
      <c r="Z261" s="91"/>
      <c r="AA261" s="91"/>
      <c r="AB261" s="91"/>
      <c r="AC261" s="79"/>
      <c r="AD261" s="79"/>
      <c r="AE261" s="79"/>
      <c r="AF261" s="92"/>
      <c r="AG261" s="92"/>
      <c r="AH261" s="79"/>
      <c r="AI261" s="79"/>
      <c r="AJ261" s="92"/>
      <c r="AK261" s="79"/>
      <c r="AL261" s="79"/>
      <c r="AM261" s="92"/>
      <c r="AN261" s="92"/>
      <c r="AO261" s="92"/>
      <c r="AP261" s="92"/>
      <c r="AQ261" s="92" t="s">
        <v>2079</v>
      </c>
      <c r="AR261" s="92" t="s">
        <v>2080</v>
      </c>
      <c r="AS261" s="92" t="s">
        <v>2081</v>
      </c>
      <c r="AT261" s="79"/>
      <c r="AU261" s="79"/>
      <c r="AV261" s="92" t="str">
        <f>VLOOKUP(I261, Kiegészítő_Mátrix!C:E, 3, FALSE)</f>
        <v>Somnobalance kiegészítők</v>
      </c>
    </row>
    <row r="262" spans="1:48" ht="30" customHeight="1" x14ac:dyDescent="0.3">
      <c r="A262" s="79"/>
      <c r="B262" s="79" t="s">
        <v>368</v>
      </c>
      <c r="C262" s="79" t="s">
        <v>163</v>
      </c>
      <c r="D262" s="80" t="s">
        <v>1198</v>
      </c>
      <c r="E262" s="81" t="s">
        <v>1323</v>
      </c>
      <c r="F262" s="98"/>
      <c r="G262" s="98"/>
      <c r="H262" s="81" t="s">
        <v>1324</v>
      </c>
      <c r="I262" s="163">
        <v>1091399</v>
      </c>
      <c r="J262" s="79" t="s">
        <v>1325</v>
      </c>
      <c r="K262" s="79" t="s">
        <v>2158</v>
      </c>
      <c r="L262" s="84" t="s">
        <v>16</v>
      </c>
      <c r="M262" s="85">
        <v>23622</v>
      </c>
      <c r="N262" s="86" t="s">
        <v>17</v>
      </c>
      <c r="O262" s="87">
        <v>43739</v>
      </c>
      <c r="P262" s="91"/>
      <c r="Q262" s="84"/>
      <c r="R262" s="89" t="s">
        <v>2091</v>
      </c>
      <c r="S262" s="90" t="s">
        <v>2092</v>
      </c>
      <c r="T262" s="79"/>
      <c r="U262" s="79"/>
      <c r="V262" s="79"/>
      <c r="W262" s="79"/>
      <c r="X262" s="79"/>
      <c r="Y262" s="79"/>
      <c r="Z262" s="91"/>
      <c r="AA262" s="91"/>
      <c r="AB262" s="91"/>
      <c r="AC262" s="79"/>
      <c r="AD262" s="79"/>
      <c r="AE262" s="79"/>
      <c r="AF262" s="92"/>
      <c r="AG262" s="92"/>
      <c r="AH262" s="79"/>
      <c r="AI262" s="79"/>
      <c r="AJ262" s="92"/>
      <c r="AK262" s="79"/>
      <c r="AL262" s="79"/>
      <c r="AM262" s="92"/>
      <c r="AN262" s="92"/>
      <c r="AO262" s="92"/>
      <c r="AP262" s="92"/>
      <c r="AQ262" s="92" t="s">
        <v>2101</v>
      </c>
      <c r="AR262" s="92" t="s">
        <v>2102</v>
      </c>
      <c r="AS262" s="92" t="s">
        <v>2103</v>
      </c>
      <c r="AT262" s="79"/>
      <c r="AU262" s="79"/>
      <c r="AV262" s="92" t="e">
        <f>VLOOKUP(I262, Kiegészítő_Mátrix!C:E, 3, FALSE)</f>
        <v>#N/A</v>
      </c>
    </row>
    <row r="263" spans="1:48" ht="30" customHeight="1" x14ac:dyDescent="0.3">
      <c r="A263" s="79"/>
      <c r="B263" s="79" t="s">
        <v>368</v>
      </c>
      <c r="C263" s="79" t="s">
        <v>163</v>
      </c>
      <c r="D263" s="80" t="s">
        <v>1198</v>
      </c>
      <c r="E263" s="81" t="s">
        <v>1323</v>
      </c>
      <c r="F263" s="98"/>
      <c r="G263" s="98"/>
      <c r="H263" s="81" t="s">
        <v>1333</v>
      </c>
      <c r="I263" s="163">
        <v>1097568</v>
      </c>
      <c r="J263" s="79" t="s">
        <v>1332</v>
      </c>
      <c r="K263" s="79" t="s">
        <v>2158</v>
      </c>
      <c r="L263" s="84" t="s">
        <v>16</v>
      </c>
      <c r="M263" s="85">
        <v>19050</v>
      </c>
      <c r="N263" s="86" t="s">
        <v>17</v>
      </c>
      <c r="O263" s="87">
        <v>41640</v>
      </c>
      <c r="P263" s="91"/>
      <c r="Q263" s="84"/>
      <c r="R263" s="89" t="s">
        <v>2093</v>
      </c>
      <c r="S263" s="90" t="s">
        <v>2094</v>
      </c>
      <c r="T263" s="79"/>
      <c r="U263" s="79"/>
      <c r="V263" s="79"/>
      <c r="W263" s="79"/>
      <c r="X263" s="79"/>
      <c r="Y263" s="79"/>
      <c r="Z263" s="91"/>
      <c r="AA263" s="91"/>
      <c r="AB263" s="91"/>
      <c r="AC263" s="79"/>
      <c r="AD263" s="79"/>
      <c r="AE263" s="79"/>
      <c r="AF263" s="92"/>
      <c r="AG263" s="92"/>
      <c r="AH263" s="79"/>
      <c r="AI263" s="79"/>
      <c r="AJ263" s="92"/>
      <c r="AK263" s="79"/>
      <c r="AL263" s="79"/>
      <c r="AM263" s="92"/>
      <c r="AN263" s="92"/>
      <c r="AO263" s="92"/>
      <c r="AP263" s="92"/>
      <c r="AQ263" s="92" t="s">
        <v>2104</v>
      </c>
      <c r="AR263" s="92" t="s">
        <v>2105</v>
      </c>
      <c r="AS263" s="92" t="s">
        <v>2106</v>
      </c>
      <c r="AT263" s="79"/>
      <c r="AU263" s="79"/>
      <c r="AV263" s="92" t="e">
        <f>VLOOKUP(I263, Kiegészítő_Mátrix!C:E, 3, FALSE)</f>
        <v>#N/A</v>
      </c>
    </row>
    <row r="264" spans="1:48" ht="30" customHeight="1" x14ac:dyDescent="0.3">
      <c r="A264" s="79"/>
      <c r="B264" s="79" t="s">
        <v>368</v>
      </c>
      <c r="C264" s="79" t="s">
        <v>163</v>
      </c>
      <c r="D264" s="80" t="s">
        <v>1198</v>
      </c>
      <c r="E264" s="81" t="s">
        <v>1323</v>
      </c>
      <c r="F264" s="80"/>
      <c r="G264" s="80"/>
      <c r="H264" s="81" t="s">
        <v>829</v>
      </c>
      <c r="I264" s="80">
        <v>1012975</v>
      </c>
      <c r="J264" s="79" t="s">
        <v>311</v>
      </c>
      <c r="K264" s="79" t="s">
        <v>2158</v>
      </c>
      <c r="L264" s="84" t="s">
        <v>16</v>
      </c>
      <c r="M264" s="85">
        <v>48387</v>
      </c>
      <c r="N264" s="86" t="s">
        <v>17</v>
      </c>
      <c r="O264" s="87">
        <v>40528</v>
      </c>
      <c r="P264" s="91"/>
      <c r="Q264" s="84" t="s">
        <v>5</v>
      </c>
      <c r="R264" s="89" t="s">
        <v>1177</v>
      </c>
      <c r="S264" s="90" t="s">
        <v>1178</v>
      </c>
      <c r="T264" s="79"/>
      <c r="U264" s="79"/>
      <c r="V264" s="79"/>
      <c r="W264" s="79"/>
      <c r="X264" s="79"/>
      <c r="Y264" s="79"/>
      <c r="Z264" s="91"/>
      <c r="AA264" s="91"/>
      <c r="AB264" s="91"/>
      <c r="AC264" s="79"/>
      <c r="AD264" s="79"/>
      <c r="AE264" s="79"/>
      <c r="AF264" s="92"/>
      <c r="AG264" s="92"/>
      <c r="AH264" s="79"/>
      <c r="AI264" s="79"/>
      <c r="AJ264" s="92"/>
      <c r="AK264" s="79"/>
      <c r="AL264" s="79"/>
      <c r="AM264" s="92"/>
      <c r="AN264" s="92"/>
      <c r="AO264" s="92"/>
      <c r="AP264" s="92"/>
      <c r="AQ264" s="92"/>
      <c r="AR264" s="92"/>
      <c r="AS264" s="92"/>
      <c r="AT264" s="79"/>
      <c r="AU264" s="79"/>
      <c r="AV264" s="92" t="e">
        <f>VLOOKUP(I264, Kiegészítő_Mátrix!C:E, 3, FALSE)</f>
        <v>#N/A</v>
      </c>
    </row>
    <row r="265" spans="1:48" ht="30" customHeight="1" x14ac:dyDescent="0.3">
      <c r="A265" s="79"/>
      <c r="B265" s="79" t="s">
        <v>368</v>
      </c>
      <c r="C265" s="79" t="s">
        <v>163</v>
      </c>
      <c r="D265" s="80" t="s">
        <v>1198</v>
      </c>
      <c r="E265" s="81" t="s">
        <v>1323</v>
      </c>
      <c r="F265" s="80"/>
      <c r="G265" s="80"/>
      <c r="H265" s="81" t="s">
        <v>830</v>
      </c>
      <c r="I265" s="126">
        <v>210004847</v>
      </c>
      <c r="J265" s="125" t="s">
        <v>313</v>
      </c>
      <c r="K265" s="125" t="s">
        <v>2158</v>
      </c>
      <c r="L265" s="84"/>
      <c r="M265" s="85">
        <v>19050</v>
      </c>
      <c r="N265" s="86" t="s">
        <v>17</v>
      </c>
      <c r="O265" s="87">
        <v>44927</v>
      </c>
      <c r="P265" s="91"/>
      <c r="Q265" s="84"/>
      <c r="R265" s="89" t="s">
        <v>1179</v>
      </c>
      <c r="S265" s="90" t="s">
        <v>1180</v>
      </c>
      <c r="T265" s="79"/>
      <c r="U265" s="79"/>
      <c r="V265" s="79"/>
      <c r="W265" s="79"/>
      <c r="X265" s="79"/>
      <c r="Y265" s="79"/>
      <c r="Z265" s="91"/>
      <c r="AA265" s="91"/>
      <c r="AB265" s="91"/>
      <c r="AC265" s="79"/>
      <c r="AD265" s="79"/>
      <c r="AE265" s="79"/>
      <c r="AF265" s="92"/>
      <c r="AG265" s="92"/>
      <c r="AH265" s="79"/>
      <c r="AI265" s="79"/>
      <c r="AJ265" s="92"/>
      <c r="AK265" s="79"/>
      <c r="AL265" s="79"/>
      <c r="AM265" s="92"/>
      <c r="AN265" s="92"/>
      <c r="AO265" s="92"/>
      <c r="AP265" s="92"/>
      <c r="AQ265" s="92" t="s">
        <v>2119</v>
      </c>
      <c r="AR265" s="92" t="s">
        <v>2120</v>
      </c>
      <c r="AS265" s="92" t="s">
        <v>2121</v>
      </c>
      <c r="AT265" s="79"/>
      <c r="AU265" s="79"/>
      <c r="AV265" s="92" t="e">
        <f>VLOOKUP(I265, Kiegészítő_Mátrix!C:E, 3, FALSE)</f>
        <v>#N/A</v>
      </c>
    </row>
    <row r="266" spans="1:48" ht="30" customHeight="1" x14ac:dyDescent="0.3">
      <c r="A266" s="79"/>
      <c r="B266" s="79" t="s">
        <v>368</v>
      </c>
      <c r="C266" s="79" t="s">
        <v>163</v>
      </c>
      <c r="D266" s="80" t="s">
        <v>1198</v>
      </c>
      <c r="E266" s="81" t="s">
        <v>1323</v>
      </c>
      <c r="F266" s="80"/>
      <c r="G266" s="80"/>
      <c r="H266" s="81" t="s">
        <v>831</v>
      </c>
      <c r="I266" s="131" t="s">
        <v>314</v>
      </c>
      <c r="J266" s="125" t="s">
        <v>315</v>
      </c>
      <c r="K266" s="125" t="s">
        <v>2158</v>
      </c>
      <c r="L266" s="84" t="s">
        <v>4</v>
      </c>
      <c r="M266" s="85">
        <v>12700</v>
      </c>
      <c r="N266" s="86" t="s">
        <v>17</v>
      </c>
      <c r="O266" s="87">
        <v>44774</v>
      </c>
      <c r="P266" s="91"/>
      <c r="Q266" s="84"/>
      <c r="R266" s="89" t="s">
        <v>2231</v>
      </c>
      <c r="S266" s="90" t="s">
        <v>2232</v>
      </c>
      <c r="T266" s="79"/>
      <c r="U266" s="79"/>
      <c r="V266" s="79"/>
      <c r="W266" s="79"/>
      <c r="X266" s="79"/>
      <c r="Y266" s="79"/>
      <c r="Z266" s="91"/>
      <c r="AA266" s="91"/>
      <c r="AB266" s="91"/>
      <c r="AC266" s="79"/>
      <c r="AD266" s="79"/>
      <c r="AE266" s="79"/>
      <c r="AF266" s="92"/>
      <c r="AG266" s="92"/>
      <c r="AH266" s="79"/>
      <c r="AI266" s="79"/>
      <c r="AJ266" s="92"/>
      <c r="AK266" s="79"/>
      <c r="AL266" s="79"/>
      <c r="AM266" s="92"/>
      <c r="AN266" s="92"/>
      <c r="AO266" s="92"/>
      <c r="AP266" s="92"/>
      <c r="AQ266" s="92" t="s">
        <v>2082</v>
      </c>
      <c r="AR266" s="92" t="s">
        <v>2083</v>
      </c>
      <c r="AS266" s="92" t="s">
        <v>2084</v>
      </c>
      <c r="AT266" s="79"/>
      <c r="AU266" s="79"/>
      <c r="AV266" s="92" t="str">
        <f>VLOOKUP(I266, Kiegészítő_Mátrix!C:E, 3, FALSE)</f>
        <v>Prisma kiegészítők;</v>
      </c>
    </row>
    <row r="267" spans="1:48" ht="30" customHeight="1" x14ac:dyDescent="0.3">
      <c r="A267" s="79"/>
      <c r="B267" s="79" t="s">
        <v>368</v>
      </c>
      <c r="C267" s="79" t="s">
        <v>163</v>
      </c>
      <c r="D267" s="80" t="s">
        <v>1198</v>
      </c>
      <c r="E267" s="81" t="s">
        <v>1323</v>
      </c>
      <c r="F267" s="80"/>
      <c r="G267" s="80"/>
      <c r="H267" s="81" t="s">
        <v>832</v>
      </c>
      <c r="I267" s="126">
        <v>1091399</v>
      </c>
      <c r="J267" s="125" t="s">
        <v>316</v>
      </c>
      <c r="K267" s="125" t="s">
        <v>2158</v>
      </c>
      <c r="L267" s="84" t="s">
        <v>16</v>
      </c>
      <c r="M267" s="85">
        <v>23620</v>
      </c>
      <c r="N267" s="86" t="s">
        <v>17</v>
      </c>
      <c r="O267" s="87">
        <v>43739</v>
      </c>
      <c r="P267" s="91"/>
      <c r="Q267" s="84"/>
      <c r="R267" s="89"/>
      <c r="S267" s="90"/>
      <c r="T267" s="79"/>
      <c r="U267" s="79"/>
      <c r="V267" s="79"/>
      <c r="W267" s="79"/>
      <c r="X267" s="79"/>
      <c r="Y267" s="79"/>
      <c r="Z267" s="91"/>
      <c r="AA267" s="91"/>
      <c r="AB267" s="91"/>
      <c r="AC267" s="79"/>
      <c r="AD267" s="79"/>
      <c r="AE267" s="79"/>
      <c r="AF267" s="92"/>
      <c r="AG267" s="92"/>
      <c r="AH267" s="79"/>
      <c r="AI267" s="79"/>
      <c r="AJ267" s="92"/>
      <c r="AK267" s="79"/>
      <c r="AL267" s="79"/>
      <c r="AM267" s="92"/>
      <c r="AN267" s="92"/>
      <c r="AO267" s="92"/>
      <c r="AP267" s="92"/>
      <c r="AQ267" s="92"/>
      <c r="AR267" s="92"/>
      <c r="AS267" s="92"/>
      <c r="AT267" s="79"/>
      <c r="AU267" s="79"/>
      <c r="AV267" s="92" t="e">
        <f>VLOOKUP(I267, Kiegészítő_Mátrix!C:E, 3, FALSE)</f>
        <v>#N/A</v>
      </c>
    </row>
    <row r="268" spans="1:48" ht="30" customHeight="1" x14ac:dyDescent="0.3">
      <c r="A268" s="79"/>
      <c r="B268" s="79"/>
      <c r="C268" s="79"/>
      <c r="D268" s="98"/>
      <c r="E268" s="83"/>
      <c r="F268" s="82"/>
      <c r="G268" s="82"/>
      <c r="H268" s="81"/>
      <c r="I268" s="83"/>
      <c r="J268" s="79"/>
      <c r="K268" s="79"/>
      <c r="L268" s="84"/>
      <c r="M268" s="85"/>
      <c r="N268" s="86"/>
      <c r="O268" s="87"/>
      <c r="P268" s="91"/>
      <c r="Q268" s="84"/>
      <c r="R268" s="89"/>
      <c r="S268" s="90"/>
      <c r="T268" s="79"/>
      <c r="U268" s="79"/>
      <c r="V268" s="79"/>
      <c r="W268" s="79"/>
      <c r="X268" s="79"/>
      <c r="Y268" s="79"/>
      <c r="Z268" s="91"/>
      <c r="AA268" s="91"/>
      <c r="AB268" s="91"/>
      <c r="AC268" s="79"/>
      <c r="AD268" s="79"/>
      <c r="AE268" s="79"/>
      <c r="AF268" s="92"/>
      <c r="AG268" s="92"/>
      <c r="AH268" s="79"/>
      <c r="AI268" s="79"/>
      <c r="AJ268" s="92"/>
      <c r="AK268" s="79"/>
      <c r="AL268" s="79"/>
      <c r="AM268" s="92"/>
      <c r="AN268" s="92"/>
      <c r="AO268" s="92"/>
      <c r="AP268" s="92"/>
      <c r="AQ268" s="92"/>
      <c r="AR268" s="92"/>
      <c r="AS268" s="92"/>
      <c r="AT268" s="79"/>
      <c r="AU268" s="79"/>
      <c r="AV268" s="92" t="e">
        <f>VLOOKUP(I268, Kiegészítő_Mátrix!C:E, 3, FALSE)</f>
        <v>#N/A</v>
      </c>
    </row>
    <row r="269" spans="1:48" ht="30" customHeight="1" x14ac:dyDescent="0.3">
      <c r="A269" s="79"/>
      <c r="B269" s="79" t="s">
        <v>368</v>
      </c>
      <c r="C269" s="79" t="s">
        <v>163</v>
      </c>
      <c r="D269" s="80" t="s">
        <v>1199</v>
      </c>
      <c r="E269" s="81" t="s">
        <v>378</v>
      </c>
      <c r="F269" s="80"/>
      <c r="G269" s="80"/>
      <c r="H269" s="81" t="s">
        <v>833</v>
      </c>
      <c r="I269" s="80" t="s">
        <v>317</v>
      </c>
      <c r="J269" s="79" t="s">
        <v>318</v>
      </c>
      <c r="K269" s="79" t="s">
        <v>2158</v>
      </c>
      <c r="L269" s="84"/>
      <c r="M269" s="85">
        <v>3600</v>
      </c>
      <c r="N269" s="86" t="s">
        <v>17</v>
      </c>
      <c r="O269" s="87">
        <v>42459</v>
      </c>
      <c r="P269" s="91"/>
      <c r="Q269" s="84" t="s">
        <v>5</v>
      </c>
      <c r="R269" s="89" t="s">
        <v>1181</v>
      </c>
      <c r="S269" s="90" t="s">
        <v>1182</v>
      </c>
      <c r="T269" s="79"/>
      <c r="U269" s="79"/>
      <c r="V269" s="79"/>
      <c r="W269" s="79"/>
      <c r="X269" s="79"/>
      <c r="Y269" s="79"/>
      <c r="Z269" s="91"/>
      <c r="AA269" s="91"/>
      <c r="AB269" s="91"/>
      <c r="AC269" s="79"/>
      <c r="AD269" s="79"/>
      <c r="AE269" s="79"/>
      <c r="AF269" s="92"/>
      <c r="AG269" s="92"/>
      <c r="AH269" s="79"/>
      <c r="AI269" s="79"/>
      <c r="AJ269" s="92"/>
      <c r="AK269" s="79"/>
      <c r="AL269" s="79"/>
      <c r="AM269" s="92"/>
      <c r="AN269" s="92"/>
      <c r="AO269" s="92"/>
      <c r="AP269" s="92"/>
      <c r="AQ269" s="92" t="s">
        <v>2107</v>
      </c>
      <c r="AR269" s="92" t="s">
        <v>2108</v>
      </c>
      <c r="AS269" s="92" t="s">
        <v>2109</v>
      </c>
      <c r="AT269" s="79"/>
      <c r="AU269" s="79"/>
      <c r="AV269" s="92" t="e">
        <f>VLOOKUP(I269, Kiegészítő_Mátrix!C:E, 3, FALSE)</f>
        <v>#N/A</v>
      </c>
    </row>
    <row r="270" spans="1:48" ht="30" customHeight="1" x14ac:dyDescent="0.3">
      <c r="A270" s="79"/>
      <c r="B270" s="79" t="s">
        <v>368</v>
      </c>
      <c r="C270" s="79" t="s">
        <v>163</v>
      </c>
      <c r="D270" s="80" t="s">
        <v>1199</v>
      </c>
      <c r="E270" s="81" t="s">
        <v>378</v>
      </c>
      <c r="F270" s="80"/>
      <c r="G270" s="80"/>
      <c r="H270" s="81" t="s">
        <v>834</v>
      </c>
      <c r="I270" s="123" t="s">
        <v>320</v>
      </c>
      <c r="J270" s="100" t="s">
        <v>321</v>
      </c>
      <c r="K270" s="100" t="s">
        <v>2158</v>
      </c>
      <c r="L270" s="159" t="s">
        <v>4</v>
      </c>
      <c r="M270" s="160">
        <v>3810</v>
      </c>
      <c r="N270" s="86" t="s">
        <v>17</v>
      </c>
      <c r="O270" s="87">
        <v>43101</v>
      </c>
      <c r="P270" s="91"/>
      <c r="Q270" s="84" t="s">
        <v>5</v>
      </c>
      <c r="R270" s="89" t="s">
        <v>1184</v>
      </c>
      <c r="S270" s="90" t="s">
        <v>1183</v>
      </c>
      <c r="T270" s="79"/>
      <c r="U270" s="79"/>
      <c r="V270" s="79"/>
      <c r="W270" s="79"/>
      <c r="X270" s="79"/>
      <c r="Y270" s="79"/>
      <c r="Z270" s="91"/>
      <c r="AA270" s="91"/>
      <c r="AB270" s="91"/>
      <c r="AC270" s="79"/>
      <c r="AD270" s="79"/>
      <c r="AE270" s="79"/>
      <c r="AF270" s="92"/>
      <c r="AG270" s="92"/>
      <c r="AH270" s="79"/>
      <c r="AI270" s="79"/>
      <c r="AJ270" s="92"/>
      <c r="AK270" s="79"/>
      <c r="AL270" s="79"/>
      <c r="AM270" s="92"/>
      <c r="AN270" s="92" t="s">
        <v>1188</v>
      </c>
      <c r="AO270" s="92" t="s">
        <v>1189</v>
      </c>
      <c r="AP270" s="92"/>
      <c r="AQ270" s="92" t="s">
        <v>2110</v>
      </c>
      <c r="AR270" s="92" t="s">
        <v>2111</v>
      </c>
      <c r="AS270" s="92" t="s">
        <v>2112</v>
      </c>
      <c r="AT270" s="79"/>
      <c r="AU270" s="79"/>
      <c r="AV270" s="92" t="str">
        <f>VLOOKUP(I270, Kiegészítő_Mátrix!C:E, 3, FALSE)</f>
        <v>Prisma kiegészítők;Somnobalance kiegészítők</v>
      </c>
    </row>
    <row r="271" spans="1:48" ht="30" customHeight="1" x14ac:dyDescent="0.3">
      <c r="A271" s="79"/>
      <c r="B271" s="79" t="s">
        <v>368</v>
      </c>
      <c r="C271" s="79" t="s">
        <v>163</v>
      </c>
      <c r="D271" s="80" t="s">
        <v>1199</v>
      </c>
      <c r="E271" s="81" t="s">
        <v>378</v>
      </c>
      <c r="F271" s="80"/>
      <c r="G271" s="80"/>
      <c r="H271" s="81" t="s">
        <v>835</v>
      </c>
      <c r="I271" s="123" t="s">
        <v>322</v>
      </c>
      <c r="J271" s="99" t="s">
        <v>323</v>
      </c>
      <c r="K271" s="99" t="s">
        <v>2158</v>
      </c>
      <c r="L271" s="159" t="s">
        <v>16</v>
      </c>
      <c r="M271" s="160">
        <v>3810</v>
      </c>
      <c r="N271" s="86" t="s">
        <v>17</v>
      </c>
      <c r="O271" s="87">
        <v>41061</v>
      </c>
      <c r="P271" s="91"/>
      <c r="Q271" s="84" t="s">
        <v>17</v>
      </c>
      <c r="R271" s="89" t="s">
        <v>1185</v>
      </c>
      <c r="S271" s="90" t="s">
        <v>1183</v>
      </c>
      <c r="T271" s="79"/>
      <c r="U271" s="79"/>
      <c r="V271" s="79"/>
      <c r="W271" s="79"/>
      <c r="X271" s="79"/>
      <c r="Y271" s="79"/>
      <c r="Z271" s="91"/>
      <c r="AA271" s="91"/>
      <c r="AB271" s="91"/>
      <c r="AC271" s="79"/>
      <c r="AD271" s="79"/>
      <c r="AE271" s="79"/>
      <c r="AF271" s="92"/>
      <c r="AG271" s="92"/>
      <c r="AH271" s="79"/>
      <c r="AI271" s="79"/>
      <c r="AJ271" s="92"/>
      <c r="AK271" s="79"/>
      <c r="AL271" s="79"/>
      <c r="AM271" s="92"/>
      <c r="AN271" s="92"/>
      <c r="AO271" s="92"/>
      <c r="AP271" s="92"/>
      <c r="AQ271" s="92" t="s">
        <v>2113</v>
      </c>
      <c r="AR271" s="92" t="s">
        <v>2114</v>
      </c>
      <c r="AS271" s="92" t="s">
        <v>2115</v>
      </c>
      <c r="AT271" s="79"/>
      <c r="AU271" s="79"/>
      <c r="AV271" s="92" t="e">
        <f>VLOOKUP(I271, Kiegészítő_Mátrix!C:E, 3, FALSE)</f>
        <v>#N/A</v>
      </c>
    </row>
    <row r="272" spans="1:48" ht="30" customHeight="1" x14ac:dyDescent="0.3">
      <c r="A272" s="79"/>
      <c r="B272" s="79" t="s">
        <v>368</v>
      </c>
      <c r="C272" s="79" t="s">
        <v>163</v>
      </c>
      <c r="D272" s="80" t="s">
        <v>1199</v>
      </c>
      <c r="E272" s="81" t="s">
        <v>378</v>
      </c>
      <c r="F272" s="80"/>
      <c r="G272" s="80"/>
      <c r="H272" s="81" t="s">
        <v>836</v>
      </c>
      <c r="I272" s="80" t="s">
        <v>2163</v>
      </c>
      <c r="J272" s="79" t="s">
        <v>2162</v>
      </c>
      <c r="K272" s="79"/>
      <c r="L272" s="159" t="s">
        <v>16</v>
      </c>
      <c r="M272" s="85">
        <v>12700</v>
      </c>
      <c r="N272" s="86" t="s">
        <v>17</v>
      </c>
      <c r="O272" s="87">
        <v>40528</v>
      </c>
      <c r="P272" s="91"/>
      <c r="Q272" s="84" t="s">
        <v>324</v>
      </c>
      <c r="R272" s="89"/>
      <c r="S272" s="90"/>
      <c r="T272" s="79"/>
      <c r="U272" s="79"/>
      <c r="V272" s="79"/>
      <c r="W272" s="79"/>
      <c r="X272" s="79"/>
      <c r="Y272" s="79"/>
      <c r="Z272" s="91"/>
      <c r="AA272" s="91"/>
      <c r="AB272" s="91"/>
      <c r="AC272" s="79"/>
      <c r="AD272" s="79"/>
      <c r="AE272" s="79"/>
      <c r="AF272" s="92"/>
      <c r="AG272" s="92"/>
      <c r="AH272" s="79"/>
      <c r="AI272" s="79"/>
      <c r="AJ272" s="92"/>
      <c r="AK272" s="79"/>
      <c r="AL272" s="79"/>
      <c r="AM272" s="92"/>
      <c r="AN272" s="92"/>
      <c r="AO272" s="92"/>
      <c r="AP272" s="92"/>
      <c r="AQ272" s="92"/>
      <c r="AR272" s="92"/>
      <c r="AS272" s="92"/>
      <c r="AT272" s="79"/>
      <c r="AU272" s="79"/>
      <c r="AV272" s="92" t="e">
        <f>VLOOKUP(I272, Kiegészítő_Mátrix!C:E, 3, FALSE)</f>
        <v>#N/A</v>
      </c>
    </row>
    <row r="273" spans="1:48" ht="30" customHeight="1" x14ac:dyDescent="0.3">
      <c r="A273" s="79"/>
      <c r="B273" s="79" t="s">
        <v>368</v>
      </c>
      <c r="C273" s="79" t="s">
        <v>163</v>
      </c>
      <c r="D273" s="80" t="s">
        <v>1199</v>
      </c>
      <c r="E273" s="81" t="s">
        <v>378</v>
      </c>
      <c r="F273" s="80"/>
      <c r="G273" s="80"/>
      <c r="H273" s="81" t="s">
        <v>837</v>
      </c>
      <c r="I273" s="80" t="s">
        <v>2161</v>
      </c>
      <c r="J273" s="79" t="s">
        <v>2160</v>
      </c>
      <c r="K273" s="79"/>
      <c r="L273" s="159" t="s">
        <v>16</v>
      </c>
      <c r="M273" s="85">
        <v>19050</v>
      </c>
      <c r="N273" s="86" t="s">
        <v>17</v>
      </c>
      <c r="O273" s="87">
        <v>41640</v>
      </c>
      <c r="P273" s="91"/>
      <c r="Q273" s="84" t="s">
        <v>17</v>
      </c>
      <c r="R273" s="89"/>
      <c r="S273" s="90"/>
      <c r="T273" s="79"/>
      <c r="U273" s="79"/>
      <c r="V273" s="79"/>
      <c r="W273" s="79"/>
      <c r="X273" s="79"/>
      <c r="Y273" s="79"/>
      <c r="Z273" s="91"/>
      <c r="AA273" s="91"/>
      <c r="AB273" s="91"/>
      <c r="AC273" s="79"/>
      <c r="AD273" s="79"/>
      <c r="AE273" s="79"/>
      <c r="AF273" s="92"/>
      <c r="AG273" s="92"/>
      <c r="AH273" s="79"/>
      <c r="AI273" s="79"/>
      <c r="AJ273" s="92"/>
      <c r="AK273" s="79"/>
      <c r="AL273" s="79"/>
      <c r="AM273" s="92"/>
      <c r="AN273" s="92"/>
      <c r="AO273" s="92"/>
      <c r="AP273" s="92"/>
      <c r="AQ273" s="92"/>
      <c r="AR273" s="92"/>
      <c r="AS273" s="92"/>
      <c r="AT273" s="79"/>
      <c r="AU273" s="79"/>
      <c r="AV273" s="92" t="e">
        <f>VLOOKUP(I273, Kiegészítő_Mátrix!C:E, 3, FALSE)</f>
        <v>#N/A</v>
      </c>
    </row>
    <row r="274" spans="1:48" ht="30" customHeight="1" x14ac:dyDescent="0.3">
      <c r="A274" s="79"/>
      <c r="B274" s="79" t="s">
        <v>368</v>
      </c>
      <c r="C274" s="79" t="s">
        <v>163</v>
      </c>
      <c r="D274" s="80" t="s">
        <v>1199</v>
      </c>
      <c r="E274" s="81" t="s">
        <v>378</v>
      </c>
      <c r="F274" s="80"/>
      <c r="G274" s="80"/>
      <c r="H274" s="81" t="s">
        <v>838</v>
      </c>
      <c r="I274" s="80" t="s">
        <v>2165</v>
      </c>
      <c r="J274" s="79" t="s">
        <v>2164</v>
      </c>
      <c r="K274" s="79"/>
      <c r="L274" s="159" t="s">
        <v>16</v>
      </c>
      <c r="M274" s="85">
        <v>12700</v>
      </c>
      <c r="N274" s="86" t="s">
        <v>17</v>
      </c>
      <c r="O274" s="87">
        <v>42370</v>
      </c>
      <c r="P274" s="91"/>
      <c r="Q274" s="84" t="s">
        <v>17</v>
      </c>
      <c r="R274" s="89"/>
      <c r="S274" s="90"/>
      <c r="T274" s="79"/>
      <c r="U274" s="79"/>
      <c r="V274" s="79"/>
      <c r="W274" s="79"/>
      <c r="X274" s="79"/>
      <c r="Y274" s="79"/>
      <c r="Z274" s="91"/>
      <c r="AA274" s="91"/>
      <c r="AB274" s="91"/>
      <c r="AC274" s="79"/>
      <c r="AD274" s="79"/>
      <c r="AE274" s="79"/>
      <c r="AF274" s="92"/>
      <c r="AG274" s="92"/>
      <c r="AH274" s="79"/>
      <c r="AI274" s="79"/>
      <c r="AJ274" s="92"/>
      <c r="AK274" s="79"/>
      <c r="AL274" s="79"/>
      <c r="AM274" s="92"/>
      <c r="AN274" s="92"/>
      <c r="AO274" s="92"/>
      <c r="AP274" s="92"/>
      <c r="AQ274" s="92"/>
      <c r="AR274" s="92"/>
      <c r="AS274" s="92"/>
      <c r="AT274" s="79"/>
      <c r="AU274" s="79"/>
      <c r="AV274" s="92" t="e">
        <f>VLOOKUP(I274, Kiegészítő_Mátrix!C:E, 3, FALSE)</f>
        <v>#N/A</v>
      </c>
    </row>
    <row r="275" spans="1:48" ht="30" customHeight="1" x14ac:dyDescent="0.3">
      <c r="A275" s="79"/>
      <c r="B275" s="79"/>
      <c r="C275" s="79"/>
      <c r="D275" s="80"/>
      <c r="E275" s="81"/>
      <c r="F275" s="80"/>
      <c r="G275" s="80"/>
      <c r="H275" s="81"/>
      <c r="I275" s="83"/>
      <c r="J275" s="79"/>
      <c r="K275" s="79"/>
      <c r="L275" s="84"/>
      <c r="M275" s="85"/>
      <c r="N275" s="86"/>
      <c r="O275" s="87"/>
      <c r="P275" s="91"/>
      <c r="Q275" s="84"/>
      <c r="R275" s="89"/>
      <c r="S275" s="90"/>
      <c r="T275" s="79"/>
      <c r="U275" s="79"/>
      <c r="V275" s="79"/>
      <c r="W275" s="79"/>
      <c r="X275" s="79"/>
      <c r="Y275" s="79"/>
      <c r="Z275" s="91"/>
      <c r="AA275" s="91"/>
      <c r="AB275" s="91"/>
      <c r="AC275" s="79"/>
      <c r="AD275" s="79"/>
      <c r="AE275" s="79"/>
      <c r="AF275" s="92"/>
      <c r="AG275" s="92"/>
      <c r="AH275" s="79"/>
      <c r="AI275" s="79"/>
      <c r="AJ275" s="92"/>
      <c r="AK275" s="79"/>
      <c r="AL275" s="79"/>
      <c r="AM275" s="92"/>
      <c r="AN275" s="92"/>
      <c r="AO275" s="92"/>
      <c r="AP275" s="92"/>
      <c r="AQ275" s="92"/>
      <c r="AR275" s="92"/>
      <c r="AS275" s="92"/>
      <c r="AT275" s="79"/>
      <c r="AU275" s="79"/>
      <c r="AV275" s="92" t="e">
        <f>VLOOKUP(I275, Kiegészítő_Mátrix!C:E, 3, FALSE)</f>
        <v>#N/A</v>
      </c>
    </row>
    <row r="276" spans="1:48" ht="30" customHeight="1" x14ac:dyDescent="0.3">
      <c r="A276" s="79"/>
      <c r="B276" s="79" t="s">
        <v>368</v>
      </c>
      <c r="C276" s="79" t="s">
        <v>163</v>
      </c>
      <c r="D276" s="80" t="s">
        <v>1445</v>
      </c>
      <c r="E276" s="81" t="s">
        <v>378</v>
      </c>
      <c r="F276" s="80"/>
      <c r="G276" s="80"/>
      <c r="H276" s="81" t="s">
        <v>839</v>
      </c>
      <c r="I276" s="131" t="s">
        <v>327</v>
      </c>
      <c r="J276" s="125" t="s">
        <v>328</v>
      </c>
      <c r="K276" s="125" t="s">
        <v>2158</v>
      </c>
      <c r="L276" s="101" t="s">
        <v>16</v>
      </c>
      <c r="M276" s="85">
        <v>3239</v>
      </c>
      <c r="N276" s="86" t="s">
        <v>17</v>
      </c>
      <c r="O276" s="87">
        <v>42522</v>
      </c>
      <c r="P276" s="91"/>
      <c r="Q276" s="84" t="s">
        <v>17</v>
      </c>
      <c r="R276" s="89" t="s">
        <v>1186</v>
      </c>
      <c r="S276" s="90" t="s">
        <v>1187</v>
      </c>
      <c r="T276" s="79"/>
      <c r="U276" s="79"/>
      <c r="V276" s="79"/>
      <c r="W276" s="79"/>
      <c r="X276" s="79"/>
      <c r="Y276" s="79"/>
      <c r="Z276" s="91"/>
      <c r="AA276" s="91"/>
      <c r="AB276" s="91"/>
      <c r="AC276" s="79"/>
      <c r="AD276" s="79"/>
      <c r="AE276" s="79"/>
      <c r="AF276" s="92"/>
      <c r="AG276" s="92"/>
      <c r="AH276" s="79"/>
      <c r="AI276" s="79"/>
      <c r="AJ276" s="92"/>
      <c r="AK276" s="79"/>
      <c r="AL276" s="79"/>
      <c r="AM276" s="92"/>
      <c r="AN276" s="92"/>
      <c r="AO276" s="92"/>
      <c r="AP276" s="92"/>
      <c r="AQ276" s="92" t="s">
        <v>2116</v>
      </c>
      <c r="AR276" s="92" t="s">
        <v>2117</v>
      </c>
      <c r="AS276" s="92" t="s">
        <v>2118</v>
      </c>
      <c r="AT276" s="79"/>
      <c r="AU276" s="79"/>
      <c r="AV276" s="92" t="e">
        <f>VLOOKUP(I276, Kiegészítő_Mátrix!C:E, 3, FALSE)</f>
        <v>#N/A</v>
      </c>
    </row>
    <row r="277" spans="1:48" ht="30" customHeight="1" x14ac:dyDescent="0.3">
      <c r="A277" s="79"/>
      <c r="B277" s="79" t="s">
        <v>368</v>
      </c>
      <c r="C277" s="79" t="s">
        <v>163</v>
      </c>
      <c r="D277" s="80" t="s">
        <v>1445</v>
      </c>
      <c r="E277" s="81" t="s">
        <v>378</v>
      </c>
      <c r="F277" s="80"/>
      <c r="G277" s="80"/>
      <c r="H277" s="81" t="s">
        <v>839</v>
      </c>
      <c r="I277" s="131" t="s">
        <v>329</v>
      </c>
      <c r="J277" s="125" t="s">
        <v>330</v>
      </c>
      <c r="K277" s="125" t="s">
        <v>2158</v>
      </c>
      <c r="L277" s="101" t="s">
        <v>16</v>
      </c>
      <c r="M277" s="85">
        <v>1524</v>
      </c>
      <c r="N277" s="86" t="s">
        <v>17</v>
      </c>
      <c r="O277" s="87">
        <v>41492</v>
      </c>
      <c r="P277" s="91"/>
      <c r="Q277" s="84" t="s">
        <v>17</v>
      </c>
      <c r="R277" s="89" t="s">
        <v>1186</v>
      </c>
      <c r="S277" s="90" t="s">
        <v>1187</v>
      </c>
      <c r="T277" s="79"/>
      <c r="U277" s="79"/>
      <c r="V277" s="79"/>
      <c r="W277" s="79"/>
      <c r="X277" s="79"/>
      <c r="Y277" s="79"/>
      <c r="Z277" s="91"/>
      <c r="AA277" s="91"/>
      <c r="AB277" s="91"/>
      <c r="AC277" s="79"/>
      <c r="AD277" s="79"/>
      <c r="AE277" s="79"/>
      <c r="AF277" s="92"/>
      <c r="AG277" s="92"/>
      <c r="AH277" s="79"/>
      <c r="AI277" s="79"/>
      <c r="AJ277" s="92"/>
      <c r="AK277" s="79"/>
      <c r="AL277" s="79"/>
      <c r="AM277" s="92"/>
      <c r="AN277" s="92"/>
      <c r="AO277" s="92"/>
      <c r="AP277" s="92"/>
      <c r="AQ277" s="92" t="s">
        <v>2116</v>
      </c>
      <c r="AR277" s="92" t="s">
        <v>2117</v>
      </c>
      <c r="AS277" s="92" t="s">
        <v>2118</v>
      </c>
      <c r="AT277" s="79"/>
      <c r="AU277" s="79"/>
      <c r="AV277" s="92" t="e">
        <f>VLOOKUP(I277, Kiegészítő_Mátrix!C:E, 3, FALSE)</f>
        <v>#N/A</v>
      </c>
    </row>
    <row r="278" spans="1:48" ht="30" customHeight="1" x14ac:dyDescent="0.3">
      <c r="A278" s="79"/>
      <c r="B278" s="79"/>
      <c r="C278" s="79"/>
      <c r="D278" s="80"/>
      <c r="E278" s="81"/>
      <c r="F278" s="80"/>
      <c r="G278" s="80"/>
      <c r="H278" s="81"/>
      <c r="I278" s="125"/>
      <c r="J278" s="125"/>
      <c r="K278" s="125"/>
      <c r="L278" s="101"/>
      <c r="M278" s="85"/>
      <c r="N278" s="86"/>
      <c r="O278" s="87"/>
      <c r="P278" s="91"/>
      <c r="Q278" s="84"/>
      <c r="R278" s="89"/>
      <c r="S278" s="90"/>
      <c r="T278" s="79"/>
      <c r="U278" s="79"/>
      <c r="V278" s="79"/>
      <c r="W278" s="79"/>
      <c r="X278" s="79"/>
      <c r="Y278" s="79"/>
      <c r="Z278" s="91"/>
      <c r="AA278" s="91"/>
      <c r="AB278" s="91"/>
      <c r="AC278" s="79"/>
      <c r="AD278" s="79"/>
      <c r="AE278" s="79"/>
      <c r="AF278" s="92"/>
      <c r="AG278" s="92"/>
      <c r="AH278" s="79"/>
      <c r="AI278" s="79"/>
      <c r="AJ278" s="92"/>
      <c r="AK278" s="79"/>
      <c r="AL278" s="79"/>
      <c r="AM278" s="92"/>
      <c r="AN278" s="92"/>
      <c r="AO278" s="92"/>
      <c r="AP278" s="92"/>
      <c r="AQ278" s="92"/>
      <c r="AR278" s="92"/>
      <c r="AS278" s="92"/>
      <c r="AT278" s="79"/>
      <c r="AU278" s="79"/>
      <c r="AV278" s="92" t="e">
        <f>VLOOKUP(I278, Kiegészítő_Mátrix!C:E, 3, FALSE)</f>
        <v>#N/A</v>
      </c>
    </row>
    <row r="279" spans="1:48" ht="30" customHeight="1" x14ac:dyDescent="0.3">
      <c r="A279" s="79"/>
      <c r="B279" s="79" t="s">
        <v>379</v>
      </c>
      <c r="C279" s="128" t="s">
        <v>380</v>
      </c>
      <c r="D279" s="128"/>
      <c r="E279" s="81"/>
      <c r="F279" s="128"/>
      <c r="G279" s="128"/>
      <c r="H279" s="81" t="s">
        <v>840</v>
      </c>
      <c r="I279" s="81"/>
      <c r="J279" s="79" t="s">
        <v>331</v>
      </c>
      <c r="K279" s="79" t="s">
        <v>2159</v>
      </c>
      <c r="L279" s="84"/>
      <c r="M279" s="85"/>
      <c r="N279" s="86"/>
      <c r="O279" s="87"/>
      <c r="P279" s="91"/>
      <c r="Q279" s="84"/>
      <c r="R279" s="89" t="s">
        <v>1190</v>
      </c>
      <c r="S279" s="90" t="s">
        <v>1221</v>
      </c>
      <c r="T279" s="79"/>
      <c r="U279" s="79"/>
      <c r="V279" s="79"/>
      <c r="W279" s="79"/>
      <c r="X279" s="79"/>
      <c r="Y279" s="79"/>
      <c r="Z279" s="91"/>
      <c r="AA279" s="91"/>
      <c r="AB279" s="91"/>
      <c r="AC279" s="79"/>
      <c r="AD279" s="79"/>
      <c r="AE279" s="79"/>
      <c r="AF279" s="92"/>
      <c r="AG279" s="92"/>
      <c r="AH279" s="79"/>
      <c r="AI279" s="79"/>
      <c r="AJ279" s="92"/>
      <c r="AK279" s="79"/>
      <c r="AL279" s="79"/>
      <c r="AM279" s="92"/>
      <c r="AN279" s="92"/>
      <c r="AO279" s="92"/>
      <c r="AP279" s="92" t="s">
        <v>332</v>
      </c>
      <c r="AQ279" s="92"/>
      <c r="AR279" s="92"/>
      <c r="AS279" s="92"/>
      <c r="AT279" s="79" t="s">
        <v>333</v>
      </c>
      <c r="AU279" s="79"/>
      <c r="AV279" s="92" t="e">
        <f>VLOOKUP(I279, Kiegészítő_Mátrix!C:E, 3, FALSE)</f>
        <v>#N/A</v>
      </c>
    </row>
    <row r="280" spans="1:48" ht="30" customHeight="1" x14ac:dyDescent="0.3">
      <c r="A280" s="79"/>
      <c r="B280" s="79" t="s">
        <v>381</v>
      </c>
      <c r="C280" s="128" t="s">
        <v>334</v>
      </c>
      <c r="D280" s="80" t="s">
        <v>335</v>
      </c>
      <c r="E280" s="81"/>
      <c r="F280" s="128"/>
      <c r="G280" s="128"/>
      <c r="H280" s="81" t="s">
        <v>840</v>
      </c>
      <c r="I280" s="81"/>
      <c r="J280" s="79" t="s">
        <v>331</v>
      </c>
      <c r="K280" s="79"/>
      <c r="L280" s="84"/>
      <c r="M280" s="85"/>
      <c r="N280" s="86"/>
      <c r="O280" s="87"/>
      <c r="P280" s="91"/>
      <c r="Q280" s="84"/>
      <c r="R280" s="89"/>
      <c r="S280" s="90"/>
      <c r="T280" s="79"/>
      <c r="U280" s="79"/>
      <c r="V280" s="79"/>
      <c r="W280" s="79"/>
      <c r="X280" s="79"/>
      <c r="Y280" s="79"/>
      <c r="Z280" s="91"/>
      <c r="AA280" s="91"/>
      <c r="AB280" s="91"/>
      <c r="AC280" s="79"/>
      <c r="AD280" s="79"/>
      <c r="AE280" s="79"/>
      <c r="AF280" s="92"/>
      <c r="AG280" s="92"/>
      <c r="AH280" s="79"/>
      <c r="AI280" s="79"/>
      <c r="AJ280" s="92"/>
      <c r="AK280" s="79"/>
      <c r="AL280" s="79"/>
      <c r="AM280" s="92"/>
      <c r="AN280" s="92"/>
      <c r="AO280" s="92"/>
      <c r="AP280" s="92"/>
      <c r="AQ280" s="92"/>
      <c r="AR280" s="92"/>
      <c r="AS280" s="92"/>
      <c r="AT280" s="79"/>
      <c r="AU280" s="79"/>
      <c r="AV280" s="92" t="e">
        <f>VLOOKUP(I280, Kiegészítő_Mátrix!C:E, 3, FALSE)</f>
        <v>#N/A</v>
      </c>
    </row>
    <row r="281" spans="1:48" ht="30" customHeight="1" x14ac:dyDescent="0.3">
      <c r="A281" s="79"/>
      <c r="B281" s="79"/>
      <c r="C281" s="79"/>
      <c r="D281" s="80" t="s">
        <v>336</v>
      </c>
      <c r="E281" s="81"/>
      <c r="F281" s="80"/>
      <c r="G281" s="80"/>
      <c r="H281" s="81" t="s">
        <v>840</v>
      </c>
      <c r="I281" s="128"/>
      <c r="J281" s="79" t="s">
        <v>331</v>
      </c>
      <c r="K281" s="79"/>
      <c r="L281" s="84"/>
      <c r="M281" s="85"/>
      <c r="N281" s="86"/>
      <c r="O281" s="87"/>
      <c r="P281" s="91"/>
      <c r="Q281" s="84"/>
      <c r="R281" s="89"/>
      <c r="S281" s="90"/>
      <c r="T281" s="79"/>
      <c r="U281" s="79"/>
      <c r="V281" s="79"/>
      <c r="W281" s="79"/>
      <c r="X281" s="79"/>
      <c r="Y281" s="79"/>
      <c r="Z281" s="91"/>
      <c r="AA281" s="91"/>
      <c r="AB281" s="91"/>
      <c r="AC281" s="79"/>
      <c r="AD281" s="79"/>
      <c r="AE281" s="79"/>
      <c r="AF281" s="92"/>
      <c r="AG281" s="92"/>
      <c r="AH281" s="79"/>
      <c r="AI281" s="79"/>
      <c r="AJ281" s="92"/>
      <c r="AK281" s="79"/>
      <c r="AL281" s="79"/>
      <c r="AM281" s="92"/>
      <c r="AN281" s="92"/>
      <c r="AO281" s="92"/>
      <c r="AP281" s="92"/>
      <c r="AQ281" s="92"/>
      <c r="AR281" s="92"/>
      <c r="AS281" s="92"/>
      <c r="AT281" s="79"/>
      <c r="AU281" s="79"/>
      <c r="AV281" s="92" t="e">
        <f>VLOOKUP(I281, Kiegészítő_Mátrix!C:E, 3, FALSE)</f>
        <v>#N/A</v>
      </c>
    </row>
    <row r="282" spans="1:48" ht="30" customHeight="1" x14ac:dyDescent="0.3">
      <c r="A282" s="79"/>
      <c r="B282" s="79" t="s">
        <v>360</v>
      </c>
      <c r="C282" s="128" t="s">
        <v>337</v>
      </c>
      <c r="D282" s="128"/>
      <c r="E282" s="81"/>
      <c r="F282" s="80"/>
      <c r="G282" s="80"/>
      <c r="H282" s="81" t="s">
        <v>841</v>
      </c>
      <c r="I282" s="81" t="s">
        <v>338</v>
      </c>
      <c r="J282" s="79" t="s">
        <v>339</v>
      </c>
      <c r="K282" s="79"/>
      <c r="L282" s="84"/>
      <c r="M282" s="85"/>
      <c r="N282" s="86"/>
      <c r="O282" s="87"/>
      <c r="P282" s="91"/>
      <c r="Q282" s="84"/>
      <c r="R282" s="89"/>
      <c r="S282" s="90"/>
      <c r="T282" s="79"/>
      <c r="U282" s="79"/>
      <c r="V282" s="79"/>
      <c r="W282" s="79"/>
      <c r="X282" s="79"/>
      <c r="Y282" s="79"/>
      <c r="Z282" s="91"/>
      <c r="AA282" s="91"/>
      <c r="AB282" s="91"/>
      <c r="AC282" s="79"/>
      <c r="AD282" s="79"/>
      <c r="AE282" s="79"/>
      <c r="AF282" s="92"/>
      <c r="AG282" s="92"/>
      <c r="AH282" s="79"/>
      <c r="AI282" s="79"/>
      <c r="AJ282" s="92"/>
      <c r="AK282" s="79"/>
      <c r="AL282" s="79"/>
      <c r="AM282" s="92"/>
      <c r="AN282" s="92"/>
      <c r="AO282" s="92"/>
      <c r="AP282" s="92"/>
      <c r="AQ282" s="92"/>
      <c r="AR282" s="92"/>
      <c r="AS282" s="92"/>
      <c r="AT282" s="79"/>
      <c r="AU282" s="79"/>
      <c r="AV282" s="92" t="e">
        <f>VLOOKUP(I282, Kiegészítő_Mátrix!C:E, 3, FALSE)</f>
        <v>#N/A</v>
      </c>
    </row>
    <row r="283" spans="1:48" ht="30" customHeight="1" x14ac:dyDescent="0.3">
      <c r="A283" s="79"/>
      <c r="B283" s="79" t="s">
        <v>382</v>
      </c>
      <c r="C283" s="128" t="s">
        <v>340</v>
      </c>
      <c r="D283" s="128"/>
      <c r="E283" s="81"/>
      <c r="F283" s="128"/>
      <c r="G283" s="128"/>
      <c r="H283" s="81" t="s">
        <v>840</v>
      </c>
      <c r="I283" s="81"/>
      <c r="J283" s="79" t="s">
        <v>331</v>
      </c>
      <c r="K283" s="79"/>
      <c r="L283" s="84"/>
      <c r="M283" s="85">
        <v>25400</v>
      </c>
      <c r="N283" s="86" t="s">
        <v>17</v>
      </c>
      <c r="O283" s="87"/>
      <c r="P283" s="91"/>
      <c r="Q283" s="84" t="s">
        <v>5</v>
      </c>
      <c r="R283" s="89"/>
      <c r="S283" s="90"/>
      <c r="T283" s="79"/>
      <c r="U283" s="79"/>
      <c r="V283" s="79"/>
      <c r="W283" s="79"/>
      <c r="X283" s="79"/>
      <c r="Y283" s="79"/>
      <c r="Z283" s="91"/>
      <c r="AA283" s="91"/>
      <c r="AB283" s="91"/>
      <c r="AC283" s="79"/>
      <c r="AD283" s="79"/>
      <c r="AE283" s="79"/>
      <c r="AF283" s="92"/>
      <c r="AG283" s="92"/>
      <c r="AH283" s="79"/>
      <c r="AI283" s="79"/>
      <c r="AJ283" s="92"/>
      <c r="AK283" s="79"/>
      <c r="AL283" s="79"/>
      <c r="AM283" s="92"/>
      <c r="AN283" s="92"/>
      <c r="AO283" s="92"/>
      <c r="AP283" s="92"/>
      <c r="AQ283" s="92"/>
      <c r="AR283" s="92"/>
      <c r="AS283" s="92"/>
      <c r="AT283" s="79"/>
      <c r="AU283" s="79"/>
      <c r="AV283" s="92" t="e">
        <f>VLOOKUP(I283, Kiegészítő_Mátrix!C:E, 3, FALSE)</f>
        <v>#N/A</v>
      </c>
    </row>
    <row r="284" spans="1:48" x14ac:dyDescent="0.3">
      <c r="A284" s="79"/>
      <c r="B284" s="79"/>
      <c r="C284" s="79"/>
      <c r="D284" s="98"/>
      <c r="E284" s="83"/>
      <c r="F284" s="98"/>
      <c r="G284" s="98"/>
      <c r="H284" s="81"/>
      <c r="I284" s="83"/>
      <c r="J284" s="79"/>
      <c r="K284" s="79"/>
      <c r="L284" s="84"/>
      <c r="M284" s="85"/>
      <c r="N284" s="86"/>
      <c r="O284" s="87"/>
      <c r="P284" s="91"/>
      <c r="Q284" s="84"/>
      <c r="R284" s="89"/>
      <c r="S284" s="90"/>
      <c r="T284" s="79"/>
      <c r="U284" s="79"/>
      <c r="V284" s="79"/>
      <c r="W284" s="79"/>
      <c r="X284" s="79"/>
      <c r="Y284" s="79"/>
      <c r="Z284" s="91"/>
      <c r="AA284" s="91"/>
      <c r="AB284" s="91"/>
      <c r="AC284" s="79"/>
      <c r="AD284" s="79"/>
      <c r="AE284" s="79"/>
      <c r="AF284" s="92"/>
      <c r="AG284" s="92"/>
      <c r="AH284" s="79"/>
      <c r="AI284" s="79"/>
      <c r="AJ284" s="92"/>
      <c r="AK284" s="79"/>
      <c r="AL284" s="79"/>
      <c r="AM284" s="92"/>
      <c r="AN284" s="92"/>
      <c r="AO284" s="92"/>
      <c r="AP284" s="92"/>
      <c r="AQ284" s="92"/>
      <c r="AR284" s="92"/>
      <c r="AS284" s="92"/>
      <c r="AT284" s="79"/>
      <c r="AU284" s="79"/>
      <c r="AV284" s="92" t="e">
        <f>VLOOKUP(I284, Kiegészítő_Mátrix!C:E, 3, FALSE)</f>
        <v>#N/A</v>
      </c>
    </row>
    <row r="285" spans="1:48" x14ac:dyDescent="0.3">
      <c r="A285" s="79"/>
      <c r="B285" s="79"/>
      <c r="C285" s="79"/>
      <c r="D285" s="98"/>
      <c r="E285" s="83"/>
      <c r="F285" s="98"/>
      <c r="G285" s="98"/>
      <c r="H285" s="81"/>
      <c r="I285" s="83"/>
      <c r="J285" s="79"/>
      <c r="K285" s="79"/>
      <c r="L285" s="84"/>
      <c r="M285" s="85"/>
      <c r="N285" s="86"/>
      <c r="O285" s="87"/>
      <c r="P285" s="91"/>
      <c r="Q285" s="84"/>
      <c r="R285" s="89"/>
      <c r="S285" s="90"/>
      <c r="T285" s="79"/>
      <c r="U285" s="79"/>
      <c r="V285" s="79"/>
      <c r="W285" s="79"/>
      <c r="X285" s="79"/>
      <c r="Y285" s="79"/>
      <c r="Z285" s="91"/>
      <c r="AA285" s="91"/>
      <c r="AB285" s="91"/>
      <c r="AC285" s="79"/>
      <c r="AD285" s="79"/>
      <c r="AE285" s="79"/>
      <c r="AF285" s="92"/>
      <c r="AG285" s="92"/>
      <c r="AH285" s="79"/>
      <c r="AI285" s="79"/>
      <c r="AJ285" s="92"/>
      <c r="AK285" s="79"/>
      <c r="AL285" s="79"/>
      <c r="AM285" s="92"/>
      <c r="AN285" s="92"/>
      <c r="AO285" s="92"/>
      <c r="AP285" s="92"/>
      <c r="AQ285" s="92"/>
      <c r="AR285" s="92"/>
      <c r="AS285" s="92"/>
      <c r="AT285" s="79"/>
      <c r="AU285" s="79"/>
      <c r="AV285" s="92" t="e">
        <f>VLOOKUP(I285, Kiegészítő_Mátrix!C:E, 3, FALSE)</f>
        <v>#N/A</v>
      </c>
    </row>
  </sheetData>
  <phoneticPr fontId="7" type="noConversion"/>
  <conditionalFormatting sqref="A2:Q3 A4:AP5 A6:Q6 A7:AA7 A8:AU8 A9:AP11 A12:AU25 F26:AU26 A27:AU52 A54:AU89 A91:AU93 F94:AU99 A100:AU101 K102:AU105 A106:AU107 A108:Q108 A109:AS110 A111:AU118 A119:AP120 A122:AP142 A143:AU153 A154:AP158 P159:AP161 A162:AP171 A172:AM172 A173:AN175 A176:AP182 A183:AU189 A190:AP198 A199:AU200 A206:AP212 A213:AU216 A217:AP221 A222:AU225 B226:AU226 I227:AU228 A232:AP232 A240:AU242 A243:AM243 A244:AU248 A249:AN252 E253:AU255 A256:AU258 A259:AP260 A261:AU261 A262:AP262 E268:AU268 A269:AU274 A276:AU278 E279:AU279 L280:AU282 E283:AU283 L285:AU285 T2:AP3 AT2:AU7 T6:AP6 AC7:AP7 AT9:AU11 A26:D26 A92:A94 B94:E94 A95:E99 A102:I105 S108:AP108 AT108:AU110 AT119:AU120 AT122:AU142 AQ122:AS145 AT154:AU182 AQ155:AS182 A159:N161 O160:O161 AO172:AP175 AT190:AU198 AQ192:AS199 AQ202:AS212 AT206:AU212 AT217:AU221 AQ219:AS221 A226:A228 AT232:AU232 AO243:AU243 AP249:AU252 D253:D254 A253:C255 AT259:AU260 AT262:AU262 A268:C268 A279:C283 D280:D281 J280:K281 E280:I282 I282:K282 A284:H284 L284 R284:AU284 A285:C285 E285:I285 A233:AU238 A263:AU267">
    <cfRule type="notContainsBlanks" dxfId="37" priority="42">
      <formula>LEN(TRIM(A2))&gt;0</formula>
    </cfRule>
  </conditionalFormatting>
  <conditionalFormatting sqref="A2:AZ233 A234:Q235 S234:AZ235 A236:AZ265 A268:AZ299 A266:L267 N266:AZ267">
    <cfRule type="expression" dxfId="36" priority="7">
      <formula>$K2="Kifutott"</formula>
    </cfRule>
    <cfRule type="expression" dxfId="35" priority="8">
      <formula>$K2="Letiltott"</formula>
    </cfRule>
  </conditionalFormatting>
  <conditionalFormatting sqref="B227:C229 H227:H229 B230:E230 G230:H230 H231:H232">
    <cfRule type="notContainsBlanks" dxfId="34" priority="34">
      <formula>LEN(TRIM(B227))&gt;0</formula>
    </cfRule>
  </conditionalFormatting>
  <conditionalFormatting sqref="B202:G205">
    <cfRule type="notContainsBlanks" dxfId="33" priority="36">
      <formula>LEN(TRIM(B202))&gt;0</formula>
    </cfRule>
  </conditionalFormatting>
  <conditionalFormatting sqref="B231:G232">
    <cfRule type="notContainsBlanks" dxfId="32" priority="18">
      <formula>LEN(TRIM(B231))&gt;0</formula>
    </cfRule>
  </conditionalFormatting>
  <conditionalFormatting sqref="D227:G229">
    <cfRule type="notContainsBlanks" dxfId="31" priority="19">
      <formula>LEN(TRIM(D227))&gt;0</formula>
    </cfRule>
  </conditionalFormatting>
  <conditionalFormatting sqref="F230">
    <cfRule type="notContainsBlanks" dxfId="30" priority="33">
      <formula>LEN(TRIM(F230))&gt;0</formula>
    </cfRule>
  </conditionalFormatting>
  <conditionalFormatting sqref="H202:J205">
    <cfRule type="notContainsBlanks" dxfId="29" priority="32">
      <formula>LEN(TRIM(H202))&gt;0</formula>
    </cfRule>
  </conditionalFormatting>
  <conditionalFormatting sqref="I229:J229">
    <cfRule type="notContainsBlanks" dxfId="28" priority="28">
      <formula>LEN(TRIM(I229))&gt;0</formula>
    </cfRule>
  </conditionalFormatting>
  <conditionalFormatting sqref="J102:J105">
    <cfRule type="notContainsBlanks" dxfId="27" priority="37">
      <formula>LEN(TRIM(J102))&gt;0</formula>
    </cfRule>
  </conditionalFormatting>
  <conditionalFormatting sqref="K202:K205">
    <cfRule type="notContainsBlanks" dxfId="26" priority="30">
      <formula>LEN(TRIM(K202))&gt;0</formula>
    </cfRule>
  </conditionalFormatting>
  <conditionalFormatting sqref="L202:L205">
    <cfRule type="notContainsBlanks" dxfId="25" priority="29">
      <formula>LEN(TRIM(L202))&gt;0</formula>
    </cfRule>
  </conditionalFormatting>
  <conditionalFormatting sqref="M202:M204">
    <cfRule type="notContainsBlanks" dxfId="24" priority="17">
      <formula>LEN(TRIM(M202))&gt;0</formula>
    </cfRule>
  </conditionalFormatting>
  <conditionalFormatting sqref="N202:O204">
    <cfRule type="notContainsBlanks" dxfId="23" priority="16">
      <formula>LEN(TRIM(N202))&gt;0</formula>
    </cfRule>
  </conditionalFormatting>
  <conditionalFormatting sqref="P202:P204">
    <cfRule type="notContainsBlanks" dxfId="22" priority="14">
      <formula>LEN(TRIM(P202))&gt;0</formula>
    </cfRule>
  </conditionalFormatting>
  <conditionalFormatting sqref="Q1:Q52 Q54:Q89 Q91:Q120 Q122:Q200 Q203:Q228 Q232:Q238 Q240:Q274 Q276:Q1048576">
    <cfRule type="containsText" dxfId="21" priority="41" operator="containsText" text="NINCS">
      <formula>NOT(ISERROR(SEARCH("NINCS",Q1)))</formula>
    </cfRule>
  </conditionalFormatting>
  <conditionalFormatting sqref="Q203:Q205">
    <cfRule type="notContainsBlanks" dxfId="20" priority="6">
      <formula>LEN(TRIM(Q203))&gt;0</formula>
    </cfRule>
  </conditionalFormatting>
  <conditionalFormatting sqref="R229">
    <cfRule type="notContainsBlanks" dxfId="19" priority="27">
      <formula>LEN(TRIM(R229))&gt;0</formula>
    </cfRule>
  </conditionalFormatting>
  <conditionalFormatting sqref="R234:R235">
    <cfRule type="expression" dxfId="18" priority="47">
      <formula>$K235="Kifutott"</formula>
    </cfRule>
    <cfRule type="expression" dxfId="17" priority="48">
      <formula>$K235="Letiltott"</formula>
    </cfRule>
  </conditionalFormatting>
  <conditionalFormatting sqref="R2:S3">
    <cfRule type="notContainsBlanks" dxfId="16" priority="39">
      <formula>LEN(TRIM(R2))&gt;0</formula>
    </cfRule>
  </conditionalFormatting>
  <conditionalFormatting sqref="R6:S6">
    <cfRule type="notContainsBlanks" dxfId="15" priority="38">
      <formula>LEN(TRIM(R6))&gt;0</formula>
    </cfRule>
  </conditionalFormatting>
  <conditionalFormatting sqref="R202:S203">
    <cfRule type="notContainsBlanks" dxfId="14" priority="4">
      <formula>LEN(TRIM(R202))&gt;0</formula>
    </cfRule>
  </conditionalFormatting>
  <conditionalFormatting sqref="R204:S204">
    <cfRule type="notContainsBlanks" dxfId="13" priority="31">
      <formula>LEN(TRIM(R204))&gt;0</formula>
    </cfRule>
  </conditionalFormatting>
  <conditionalFormatting sqref="R205:S205">
    <cfRule type="notContainsBlanks" dxfId="12" priority="3">
      <formula>LEN(TRIM(R205))&gt;0</formula>
    </cfRule>
  </conditionalFormatting>
  <conditionalFormatting sqref="S229">
    <cfRule type="notContainsBlanks" dxfId="11" priority="26">
      <formula>LEN(TRIM(S229))&gt;0</formula>
    </cfRule>
  </conditionalFormatting>
  <conditionalFormatting sqref="AJ229">
    <cfRule type="notContainsBlanks" dxfId="10" priority="24">
      <formula>LEN(TRIM(AJ229))&gt;0</formula>
    </cfRule>
  </conditionalFormatting>
  <conditionalFormatting sqref="AL229:AM229">
    <cfRule type="notContainsBlanks" dxfId="9" priority="25">
      <formula>LEN(TRIM(AL229))&gt;0</formula>
    </cfRule>
  </conditionalFormatting>
  <conditionalFormatting sqref="AN229">
    <cfRule type="notContainsBlanks" dxfId="8" priority="22">
      <formula>LEN(TRIM(AN229))&gt;0</formula>
    </cfRule>
  </conditionalFormatting>
  <conditionalFormatting sqref="AO229">
    <cfRule type="notContainsBlanks" dxfId="7" priority="23">
      <formula>LEN(TRIM(AO229))&gt;0</formula>
    </cfRule>
  </conditionalFormatting>
  <conditionalFormatting sqref="AO249:AO252">
    <cfRule type="notContainsBlanks" dxfId="6" priority="21">
      <formula>LEN(TRIM(AO249))&gt;0</formula>
    </cfRule>
  </conditionalFormatting>
  <conditionalFormatting sqref="AQ119:AS119">
    <cfRule type="notContainsBlanks" dxfId="5" priority="11">
      <formula>LEN(TRIM(AQ119))&gt;0</formula>
    </cfRule>
  </conditionalFormatting>
  <conditionalFormatting sqref="AQ229:AS231">
    <cfRule type="notContainsBlanks" dxfId="4" priority="9">
      <formula>LEN(TRIM(AQ229))&gt;0</formula>
    </cfRule>
  </conditionalFormatting>
  <conditionalFormatting sqref="M267">
    <cfRule type="expression" dxfId="3" priority="53">
      <formula>$K266="Kifutott"</formula>
    </cfRule>
    <cfRule type="expression" dxfId="2" priority="54">
      <formula>$K266="Letiltott"</formula>
    </cfRule>
  </conditionalFormatting>
  <conditionalFormatting sqref="M266">
    <cfRule type="expression" dxfId="1" priority="1">
      <formula>$K266="Kifutott"</formula>
    </cfRule>
    <cfRule type="expression" dxfId="0" priority="2">
      <formula>$K266="Letiltott"</formula>
    </cfRule>
  </conditionalFormatting>
  <pageMargins left="0.70866141732283472" right="0.70866141732283472" top="0.55118110236220474" bottom="0.35433070866141736" header="0.31496062992125984" footer="0.31496062992125984"/>
  <pageSetup paperSize="9" scale="45" orientation="landscape" horizontalDpi="0" verticalDpi="0" r:id="rId1"/>
  <headerFooter>
    <oddHeader>&amp;C&amp;F&amp;R&amp;P/&amp;N</oddHeader>
  </headerFooter>
  <rowBreaks count="10" manualBreakCount="10">
    <brk id="31" max="16383" man="1"/>
    <brk id="53" max="16383" man="1"/>
    <brk id="91" max="16383" man="1"/>
    <brk id="111" max="16383" man="1"/>
    <brk id="125" max="14" man="1"/>
    <brk id="154" max="16383" man="1"/>
    <brk id="184" max="16383" man="1"/>
    <brk id="214" max="16383" man="1"/>
    <brk id="239" max="16383" man="1"/>
    <brk id="255" max="14" man="1"/>
  </rowBreaks>
  <colBreaks count="1" manualBreakCount="1">
    <brk id="15" max="1048575" man="1"/>
  </colBreaks>
  <ignoredErrors>
    <ignoredError sqref="I100:I101 I199 I7 I93 I210"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25EF-EFCF-4A2A-97F0-875643C0FA4B}">
  <dimension ref="A1:G998"/>
  <sheetViews>
    <sheetView topLeftCell="A448" zoomScale="80" zoomScaleNormal="80" workbookViewId="0">
      <selection activeCell="G476" sqref="G476"/>
    </sheetView>
  </sheetViews>
  <sheetFormatPr defaultRowHeight="14.4" x14ac:dyDescent="0.3"/>
  <cols>
    <col min="1" max="1" width="20.77734375" style="9" customWidth="1"/>
    <col min="2" max="2" width="41.44140625" customWidth="1"/>
    <col min="3" max="3" width="17" customWidth="1"/>
    <col min="4" max="4" width="50.6640625" customWidth="1"/>
    <col min="5" max="5" width="57.109375" customWidth="1"/>
    <col min="6" max="6" width="14.33203125" customWidth="1"/>
    <col min="7" max="7" width="87.5546875" customWidth="1"/>
  </cols>
  <sheetData>
    <row r="1" spans="1:7" s="50" customFormat="1" ht="43.2" x14ac:dyDescent="0.3">
      <c r="A1" s="28" t="s">
        <v>1238</v>
      </c>
      <c r="B1" s="50" t="s">
        <v>1237</v>
      </c>
      <c r="C1" s="50" t="s">
        <v>1239</v>
      </c>
      <c r="D1" s="50" t="s">
        <v>1241</v>
      </c>
      <c r="E1" s="50" t="s">
        <v>1240</v>
      </c>
      <c r="F1" s="50" t="s">
        <v>1264</v>
      </c>
      <c r="G1" s="24" t="s">
        <v>1316</v>
      </c>
    </row>
    <row r="2" spans="1:7" s="14" customFormat="1" ht="43.2" x14ac:dyDescent="0.3">
      <c r="A2" s="36" t="s">
        <v>2</v>
      </c>
      <c r="B2" s="37" t="str">
        <f>IFERROR(VLOOKUP(A2, Terméklista!I:J, 2, FALSE), "Várom a cikkszámot...")</f>
        <v>prisma SMART auto cpap (fekete)</v>
      </c>
      <c r="C2" s="45" t="s">
        <v>165</v>
      </c>
      <c r="D2" s="37" t="str">
        <f>IFERROR(VLOOKUP(C2, Terméklista!I:J, 2, FALSE), "Várom a cikkszámot...")</f>
        <v>Szivacsszűrő Prisma készülékhez 1csomag/2db</v>
      </c>
      <c r="E2" s="38" t="s">
        <v>1317</v>
      </c>
      <c r="F2" s="41"/>
      <c r="G2" s="41" t="s">
        <v>1336</v>
      </c>
    </row>
    <row r="3" spans="1:7" s="14" customFormat="1" ht="43.2" x14ac:dyDescent="0.3">
      <c r="A3" s="39" t="s">
        <v>2</v>
      </c>
      <c r="B3" s="40" t="str">
        <f>IFERROR(VLOOKUP(A3, Terméklista!I:J, 2, FALSE), "Várom a cikkszámot...")</f>
        <v>prisma SMART auto cpap (fekete)</v>
      </c>
      <c r="C3" s="46" t="s">
        <v>171</v>
      </c>
      <c r="D3" s="40" t="str">
        <f>IFERROR(VLOOKUP(C3, Terméklista!I:J, 2, FALSE), "Várom a cikkszámot...")</f>
        <v>Pollenszűrő Prisma készülékhez 12db</v>
      </c>
      <c r="E3" s="38" t="s">
        <v>1317</v>
      </c>
      <c r="F3" s="41"/>
      <c r="G3" s="41" t="s">
        <v>1336</v>
      </c>
    </row>
    <row r="4" spans="1:7" s="14" customFormat="1" ht="43.2" x14ac:dyDescent="0.3">
      <c r="A4" s="39" t="s">
        <v>2</v>
      </c>
      <c r="B4" s="40" t="str">
        <f>IFERROR(VLOOKUP(A4, Terméklista!I:J, 2, FALSE), "Várom a cikkszámot...")</f>
        <v>prisma SMART auto cpap (fekete)</v>
      </c>
      <c r="C4" s="46" t="s">
        <v>1242</v>
      </c>
      <c r="D4" s="40" t="str">
        <f>IFERROR(VLOOKUP(C4, Terméklista!I:J, 2, FALSE), "Várom a cikkszámot...")</f>
        <v>Baktériumszűrő</v>
      </c>
      <c r="E4" s="41" t="s">
        <v>1358</v>
      </c>
      <c r="F4" s="41"/>
      <c r="G4" s="41" t="s">
        <v>1336</v>
      </c>
    </row>
    <row r="5" spans="1:7" s="14" customFormat="1" ht="43.2" x14ac:dyDescent="0.3">
      <c r="A5" s="39" t="s">
        <v>2</v>
      </c>
      <c r="B5" s="40" t="str">
        <f>IFERROR(VLOOKUP(A5, Terméklista!I:J, 2, FALSE), "Várom a cikkszámot...")</f>
        <v>prisma SMART auto cpap (fekete)</v>
      </c>
      <c r="C5" s="46" t="s">
        <v>63</v>
      </c>
      <c r="D5" s="40" t="str">
        <f>IFERROR(VLOOKUP(C5, Terméklista!I:J, 2, FALSE), "Várom a cikkszámot...")</f>
        <v>Prisma Aqua párásító fekete</v>
      </c>
      <c r="E5" s="41" t="s">
        <v>1317</v>
      </c>
      <c r="F5" s="41"/>
      <c r="G5" s="41" t="s">
        <v>1336</v>
      </c>
    </row>
    <row r="6" spans="1:7" s="14" customFormat="1" ht="43.2" x14ac:dyDescent="0.3">
      <c r="A6" s="39" t="s">
        <v>2</v>
      </c>
      <c r="B6" s="40" t="str">
        <f>IFERROR(VLOOKUP(A6, Terméklista!I:J, 2, FALSE), "Várom a cikkszámot...")</f>
        <v>prisma SMART auto cpap (fekete)</v>
      </c>
      <c r="C6" s="46" t="s">
        <v>288</v>
      </c>
      <c r="D6" s="40" t="str">
        <f>IFERROR(VLOOKUP(C6, Terméklista!I:J, 2, FALSE), "Várom a cikkszámot...")</f>
        <v>Gégecső SomnoBalance és Prisma készülékhez</v>
      </c>
      <c r="E6" s="41" t="s">
        <v>1361</v>
      </c>
      <c r="F6" s="41"/>
      <c r="G6" s="41" t="s">
        <v>1336</v>
      </c>
    </row>
    <row r="7" spans="1:7" s="14" customFormat="1" ht="43.2" x14ac:dyDescent="0.3">
      <c r="A7" s="39" t="s">
        <v>2</v>
      </c>
      <c r="B7" s="40" t="str">
        <f>IFERROR(VLOOKUP(A7, Terméklista!I:J, 2, FALSE), "Várom a cikkszámot...")</f>
        <v>prisma SMART auto cpap (fekete)</v>
      </c>
      <c r="C7" s="46" t="s">
        <v>286</v>
      </c>
      <c r="D7" s="40" t="str">
        <f>IFERROR(VLOOKUP(C7, Terméklista!I:J, 2, FALSE), "Várom a cikkszámot...")</f>
        <v>Gégecső huzat</v>
      </c>
      <c r="E7" s="41" t="s">
        <v>1390</v>
      </c>
      <c r="F7" s="41"/>
      <c r="G7" s="41" t="s">
        <v>1336</v>
      </c>
    </row>
    <row r="8" spans="1:7" s="14" customFormat="1" ht="43.2" x14ac:dyDescent="0.3">
      <c r="A8" s="39" t="s">
        <v>2</v>
      </c>
      <c r="B8" s="40" t="str">
        <f>IFERROR(VLOOKUP(A8, Terméklista!I:J, 2, FALSE), "Várom a cikkszámot...")</f>
        <v>prisma SMART auto cpap (fekete)</v>
      </c>
      <c r="C8" s="46" t="s">
        <v>305</v>
      </c>
      <c r="D8" s="40" t="str">
        <f>IFERROR(VLOOKUP(C8, Terméklista!I:J, 2, FALSE), "Várom a cikkszámot...")</f>
        <v>prisma DC adapter (12/24V)</v>
      </c>
      <c r="E8" s="41" t="s">
        <v>1317</v>
      </c>
      <c r="F8" s="41"/>
      <c r="G8" s="41" t="s">
        <v>1336</v>
      </c>
    </row>
    <row r="9" spans="1:7" s="14" customFormat="1" ht="43.2" x14ac:dyDescent="0.3">
      <c r="A9" s="39" t="s">
        <v>2</v>
      </c>
      <c r="B9" s="40" t="str">
        <f>IFERROR(VLOOKUP(A9, Terméklista!I:J, 2, FALSE), "Várom a cikkszámot...")</f>
        <v>prisma SMART auto cpap (fekete)</v>
      </c>
      <c r="C9" s="46" t="s">
        <v>314</v>
      </c>
      <c r="D9" s="40" t="str">
        <f>IFERROR(VLOOKUP(C9, Terméklista!I:J, 2, FALSE), "Várom a cikkszámot...")</f>
        <v>Csatlakozó kábel (Prisma)</v>
      </c>
      <c r="E9" s="41" t="s">
        <v>1391</v>
      </c>
      <c r="F9" s="41"/>
      <c r="G9" s="41" t="s">
        <v>1336</v>
      </c>
    </row>
    <row r="10" spans="1:7" s="14" customFormat="1" ht="43.2" x14ac:dyDescent="0.3">
      <c r="A10" s="39" t="s">
        <v>2</v>
      </c>
      <c r="B10" s="40" t="str">
        <f>IFERROR(VLOOKUP(A10, Terméklista!I:J, 2, FALSE), "Várom a cikkszámot...")</f>
        <v>prisma SMART auto cpap (fekete)</v>
      </c>
      <c r="C10" s="47" t="s">
        <v>320</v>
      </c>
      <c r="D10" s="40" t="str">
        <f>IFERROR(VLOOKUP(C10, Terméklista!I:J, 2, FALSE), "Várom a cikkszámot...")</f>
        <v>Somno SD-kártya</v>
      </c>
      <c r="E10" s="41" t="s">
        <v>1361</v>
      </c>
      <c r="F10" s="41"/>
      <c r="G10" s="41" t="s">
        <v>1336</v>
      </c>
    </row>
    <row r="11" spans="1:7" ht="43.2" x14ac:dyDescent="0.3">
      <c r="A11" s="42" t="s">
        <v>8</v>
      </c>
      <c r="B11" s="40" t="str">
        <f>IFERROR(VLOOKUP(A11, Terméklista!I:J, 2, FALSE), "Várom a cikkszámot...")</f>
        <v>prisma SMART plus auto cpap (fehér)</v>
      </c>
      <c r="C11" s="48" t="s">
        <v>165</v>
      </c>
      <c r="D11" s="40" t="str">
        <f>IFERROR(VLOOKUP(C11, Terméklista!I:J, 2, FALSE), "Várom a cikkszámot...")</f>
        <v>Szivacsszűrő Prisma készülékhez 1csomag/2db</v>
      </c>
      <c r="E11" s="41" t="s">
        <v>1391</v>
      </c>
      <c r="F11" s="41"/>
      <c r="G11" s="41" t="s">
        <v>1336</v>
      </c>
    </row>
    <row r="12" spans="1:7" ht="43.2" x14ac:dyDescent="0.3">
      <c r="A12" s="42" t="s">
        <v>8</v>
      </c>
      <c r="B12" s="40" t="str">
        <f>IFERROR(VLOOKUP(A12, Terméklista!I:J, 2, FALSE), "Várom a cikkszámot...")</f>
        <v>prisma SMART plus auto cpap (fehér)</v>
      </c>
      <c r="C12" s="44" t="s">
        <v>171</v>
      </c>
      <c r="D12" s="40" t="str">
        <f>IFERROR(VLOOKUP(C12, Terméklista!I:J, 2, FALSE), "Várom a cikkszámot...")</f>
        <v>Pollenszűrő Prisma készülékhez 12db</v>
      </c>
      <c r="E12" s="41" t="s">
        <v>1391</v>
      </c>
      <c r="F12" s="41"/>
      <c r="G12" s="41" t="s">
        <v>1336</v>
      </c>
    </row>
    <row r="13" spans="1:7" ht="43.2" x14ac:dyDescent="0.3">
      <c r="A13" s="42" t="s">
        <v>8</v>
      </c>
      <c r="B13" s="40" t="str">
        <f>IFERROR(VLOOKUP(A13, Terméklista!I:J, 2, FALSE), "Várom a cikkszámot...")</f>
        <v>prisma SMART plus auto cpap (fehér)</v>
      </c>
      <c r="C13" s="44" t="s">
        <v>1242</v>
      </c>
      <c r="D13" s="40" t="str">
        <f>IFERROR(VLOOKUP(C13, Terméklista!I:J, 2, FALSE), "Várom a cikkszámot...")</f>
        <v>Baktériumszűrő</v>
      </c>
      <c r="E13" s="41" t="s">
        <v>1360</v>
      </c>
      <c r="F13" s="41"/>
      <c r="G13" s="41" t="s">
        <v>1336</v>
      </c>
    </row>
    <row r="14" spans="1:7" ht="43.2" x14ac:dyDescent="0.3">
      <c r="A14" s="42" t="s">
        <v>8</v>
      </c>
      <c r="B14" s="40" t="str">
        <f>IFERROR(VLOOKUP(A14, Terméklista!I:J, 2, FALSE), "Várom a cikkszámot...")</f>
        <v>prisma SMART plus auto cpap (fehér)</v>
      </c>
      <c r="C14" s="44" t="s">
        <v>60</v>
      </c>
      <c r="D14" s="40" t="str">
        <f>IFERROR(VLOOKUP(C14, Terméklista!I:J, 2, FALSE), "Várom a cikkszámot...")</f>
        <v>Prisma Aqua párásító fehér</v>
      </c>
      <c r="E14" s="41" t="s">
        <v>1317</v>
      </c>
      <c r="F14" s="41"/>
      <c r="G14" s="41" t="s">
        <v>1336</v>
      </c>
    </row>
    <row r="15" spans="1:7" ht="43.2" x14ac:dyDescent="0.3">
      <c r="A15" s="42" t="s">
        <v>8</v>
      </c>
      <c r="B15" s="40" t="str">
        <f>IFERROR(VLOOKUP(A15, Terméklista!I:J, 2, FALSE), "Várom a cikkszámot...")</f>
        <v>prisma SMART plus auto cpap (fehér)</v>
      </c>
      <c r="C15" s="44" t="s">
        <v>288</v>
      </c>
      <c r="D15" s="40" t="str">
        <f>IFERROR(VLOOKUP(C15, Terméklista!I:J, 2, FALSE), "Várom a cikkszámot...")</f>
        <v>Gégecső SomnoBalance és Prisma készülékhez</v>
      </c>
      <c r="E15" s="41" t="s">
        <v>1361</v>
      </c>
      <c r="F15" s="41"/>
      <c r="G15" s="41" t="s">
        <v>1336</v>
      </c>
    </row>
    <row r="16" spans="1:7" ht="43.2" x14ac:dyDescent="0.3">
      <c r="A16" s="42" t="s">
        <v>8</v>
      </c>
      <c r="B16" s="40" t="str">
        <f>IFERROR(VLOOKUP(A16, Terméklista!I:J, 2, FALSE), "Várom a cikkszámot...")</f>
        <v>prisma SMART plus auto cpap (fehér)</v>
      </c>
      <c r="C16" s="44" t="s">
        <v>286</v>
      </c>
      <c r="D16" s="40" t="str">
        <f>IFERROR(VLOOKUP(C16, Terméklista!I:J, 2, FALSE), "Várom a cikkszámot...")</f>
        <v>Gégecső huzat</v>
      </c>
      <c r="E16" s="41" t="s">
        <v>1362</v>
      </c>
      <c r="F16" s="41"/>
      <c r="G16" s="41" t="s">
        <v>1336</v>
      </c>
    </row>
    <row r="17" spans="1:7" ht="43.2" x14ac:dyDescent="0.3">
      <c r="A17" s="42" t="s">
        <v>8</v>
      </c>
      <c r="B17" s="40" t="str">
        <f>IFERROR(VLOOKUP(A17, Terméklista!I:J, 2, FALSE), "Várom a cikkszámot...")</f>
        <v>prisma SMART plus auto cpap (fehér)</v>
      </c>
      <c r="C17" s="44" t="s">
        <v>305</v>
      </c>
      <c r="D17" s="40" t="str">
        <f>IFERROR(VLOOKUP(C17, Terméklista!I:J, 2, FALSE), "Várom a cikkszámot...")</f>
        <v>prisma DC adapter (12/24V)</v>
      </c>
      <c r="E17" s="41" t="s">
        <v>1391</v>
      </c>
      <c r="F17" s="41"/>
      <c r="G17" s="41" t="s">
        <v>1336</v>
      </c>
    </row>
    <row r="18" spans="1:7" ht="43.2" x14ac:dyDescent="0.3">
      <c r="A18" s="42" t="s">
        <v>8</v>
      </c>
      <c r="B18" s="40" t="str">
        <f>IFERROR(VLOOKUP(A18, Terméklista!I:J, 2, FALSE), "Várom a cikkszámot...")</f>
        <v>prisma SMART plus auto cpap (fehér)</v>
      </c>
      <c r="C18" s="44" t="s">
        <v>314</v>
      </c>
      <c r="D18" s="40" t="str">
        <f>IFERROR(VLOOKUP(C18, Terméklista!I:J, 2, FALSE), "Várom a cikkszámot...")</f>
        <v>Csatlakozó kábel (Prisma)</v>
      </c>
      <c r="E18" s="41" t="s">
        <v>1391</v>
      </c>
      <c r="F18" s="41"/>
      <c r="G18" s="41" t="s">
        <v>1336</v>
      </c>
    </row>
    <row r="19" spans="1:7" ht="43.2" x14ac:dyDescent="0.3">
      <c r="A19" s="42" t="s">
        <v>8</v>
      </c>
      <c r="B19" s="40" t="str">
        <f>IFERROR(VLOOKUP(A19, Terméklista!I:J, 2, FALSE), "Várom a cikkszámot...")</f>
        <v>prisma SMART plus auto cpap (fehér)</v>
      </c>
      <c r="C19" s="44" t="s">
        <v>320</v>
      </c>
      <c r="D19" s="40" t="str">
        <f>IFERROR(VLOOKUP(C19, Terméklista!I:J, 2, FALSE), "Várom a cikkszámot...")</f>
        <v>Somno SD-kártya</v>
      </c>
      <c r="E19" s="41" t="s">
        <v>1361</v>
      </c>
      <c r="F19" s="41"/>
      <c r="G19" s="41" t="s">
        <v>1336</v>
      </c>
    </row>
    <row r="20" spans="1:7" ht="43.2" x14ac:dyDescent="0.3">
      <c r="A20" s="42" t="s">
        <v>10</v>
      </c>
      <c r="B20" s="40" t="str">
        <f>IFERROR(VLOOKUP(A20, Terméklista!I:J, 2, FALSE), "Várom a cikkszámot...")</f>
        <v>Prisma A20 auto cpap</v>
      </c>
      <c r="C20" s="44" t="s">
        <v>165</v>
      </c>
      <c r="D20" s="40" t="str">
        <f>IFERROR(VLOOKUP(C20, Terméklista!I:J, 2, FALSE), "Várom a cikkszámot...")</f>
        <v>Szivacsszűrő Prisma készülékhez 1csomag/2db</v>
      </c>
      <c r="E20" s="41" t="s">
        <v>1317</v>
      </c>
      <c r="F20" s="41"/>
      <c r="G20" s="41" t="s">
        <v>1336</v>
      </c>
    </row>
    <row r="21" spans="1:7" ht="43.2" x14ac:dyDescent="0.3">
      <c r="A21" s="42" t="s">
        <v>10</v>
      </c>
      <c r="B21" s="40" t="str">
        <f>IFERROR(VLOOKUP(A21, Terméklista!I:J, 2, FALSE), "Várom a cikkszámot...")</f>
        <v>Prisma A20 auto cpap</v>
      </c>
      <c r="C21" s="44" t="s">
        <v>171</v>
      </c>
      <c r="D21" s="40" t="str">
        <f>IFERROR(VLOOKUP(C21, Terméklista!I:J, 2, FALSE), "Várom a cikkszámot...")</f>
        <v>Pollenszűrő Prisma készülékhez 12db</v>
      </c>
      <c r="E21" s="41" t="s">
        <v>1317</v>
      </c>
      <c r="F21" s="41"/>
      <c r="G21" s="41" t="s">
        <v>1336</v>
      </c>
    </row>
    <row r="22" spans="1:7" ht="43.2" x14ac:dyDescent="0.3">
      <c r="A22" s="42" t="s">
        <v>10</v>
      </c>
      <c r="B22" s="40" t="str">
        <f>IFERROR(VLOOKUP(A22, Terméklista!I:J, 2, FALSE), "Várom a cikkszámot...")</f>
        <v>Prisma A20 auto cpap</v>
      </c>
      <c r="C22" s="44" t="s">
        <v>1242</v>
      </c>
      <c r="D22" s="40" t="str">
        <f>IFERROR(VLOOKUP(C22, Terméklista!I:J, 2, FALSE), "Várom a cikkszámot...")</f>
        <v>Baktériumszűrő</v>
      </c>
      <c r="E22" s="41" t="s">
        <v>1358</v>
      </c>
      <c r="F22" s="41"/>
      <c r="G22" s="41" t="s">
        <v>1336</v>
      </c>
    </row>
    <row r="23" spans="1:7" ht="43.2" x14ac:dyDescent="0.3">
      <c r="A23" s="42" t="s">
        <v>10</v>
      </c>
      <c r="B23" s="40" t="str">
        <f>IFERROR(VLOOKUP(A23, Terméklista!I:J, 2, FALSE), "Várom a cikkszámot...")</f>
        <v>Prisma A20 auto cpap</v>
      </c>
      <c r="C23" s="44" t="s">
        <v>63</v>
      </c>
      <c r="D23" s="40" t="str">
        <f>IFERROR(VLOOKUP(C23, Terméklista!I:J, 2, FALSE), "Várom a cikkszámot...")</f>
        <v>Prisma Aqua párásító fekete</v>
      </c>
      <c r="E23" s="41" t="s">
        <v>1317</v>
      </c>
      <c r="F23" s="41"/>
      <c r="G23" s="41" t="s">
        <v>1336</v>
      </c>
    </row>
    <row r="24" spans="1:7" ht="43.2" x14ac:dyDescent="0.3">
      <c r="A24" s="42" t="s">
        <v>10</v>
      </c>
      <c r="B24" s="40" t="str">
        <f>IFERROR(VLOOKUP(A24, Terméklista!I:J, 2, FALSE), "Várom a cikkszámot...")</f>
        <v>Prisma A20 auto cpap</v>
      </c>
      <c r="C24" s="44" t="s">
        <v>288</v>
      </c>
      <c r="D24" s="40" t="str">
        <f>IFERROR(VLOOKUP(C24, Terméklista!I:J, 2, FALSE), "Várom a cikkszámot...")</f>
        <v>Gégecső SomnoBalance és Prisma készülékhez</v>
      </c>
      <c r="E24" s="41" t="s">
        <v>1361</v>
      </c>
      <c r="F24" s="41"/>
      <c r="G24" s="41" t="s">
        <v>1336</v>
      </c>
    </row>
    <row r="25" spans="1:7" ht="43.2" x14ac:dyDescent="0.3">
      <c r="A25" s="42" t="s">
        <v>10</v>
      </c>
      <c r="B25" s="40" t="str">
        <f>IFERROR(VLOOKUP(A25, Terméklista!I:J, 2, FALSE), "Várom a cikkszámot...")</f>
        <v>Prisma A20 auto cpap</v>
      </c>
      <c r="C25" s="44" t="s">
        <v>286</v>
      </c>
      <c r="D25" s="40" t="str">
        <f>IFERROR(VLOOKUP(C25, Terméklista!I:J, 2, FALSE), "Várom a cikkszámot...")</f>
        <v>Gégecső huzat</v>
      </c>
      <c r="E25" s="41" t="s">
        <v>1362</v>
      </c>
      <c r="F25" s="41"/>
      <c r="G25" s="41" t="s">
        <v>1336</v>
      </c>
    </row>
    <row r="26" spans="1:7" ht="43.2" x14ac:dyDescent="0.3">
      <c r="A26" s="42" t="s">
        <v>10</v>
      </c>
      <c r="B26" s="40" t="str">
        <f>IFERROR(VLOOKUP(A26, Terméklista!I:J, 2, FALSE), "Várom a cikkszámot...")</f>
        <v>Prisma A20 auto cpap</v>
      </c>
      <c r="C26" s="44" t="s">
        <v>305</v>
      </c>
      <c r="D26" s="40" t="str">
        <f>IFERROR(VLOOKUP(C26, Terméklista!I:J, 2, FALSE), "Várom a cikkszámot...")</f>
        <v>prisma DC adapter (12/24V)</v>
      </c>
      <c r="E26" s="41" t="s">
        <v>1317</v>
      </c>
      <c r="F26" s="41"/>
      <c r="G26" s="41" t="s">
        <v>1336</v>
      </c>
    </row>
    <row r="27" spans="1:7" ht="43.2" x14ac:dyDescent="0.3">
      <c r="A27" s="42" t="s">
        <v>10</v>
      </c>
      <c r="B27" s="40" t="str">
        <f>IFERROR(VLOOKUP(A27, Terméklista!I:J, 2, FALSE), "Várom a cikkszámot...")</f>
        <v>Prisma A20 auto cpap</v>
      </c>
      <c r="C27" s="44" t="s">
        <v>307</v>
      </c>
      <c r="D27" s="40" t="str">
        <f>IFERROR(VLOOKUP(C27, Terméklista!I:J, 2, FALSE), "Várom a cikkszámot...")</f>
        <v>prisma20A tápegység</v>
      </c>
      <c r="E27" s="41" t="s">
        <v>1317</v>
      </c>
      <c r="F27" s="41"/>
      <c r="G27" s="41" t="s">
        <v>1336</v>
      </c>
    </row>
    <row r="28" spans="1:7" ht="43.2" x14ac:dyDescent="0.3">
      <c r="A28" s="42" t="s">
        <v>10</v>
      </c>
      <c r="B28" s="40" t="str">
        <f>IFERROR(VLOOKUP(A28, Terméklista!I:J, 2, FALSE), "Várom a cikkszámot...")</f>
        <v>Prisma A20 auto cpap</v>
      </c>
      <c r="C28" s="44" t="s">
        <v>314</v>
      </c>
      <c r="D28" s="40" t="str">
        <f>IFERROR(VLOOKUP(C28, Terméklista!I:J, 2, FALSE), "Várom a cikkszámot...")</f>
        <v>Csatlakozó kábel (Prisma)</v>
      </c>
      <c r="E28" s="41" t="s">
        <v>1317</v>
      </c>
      <c r="F28" s="41"/>
      <c r="G28" s="41" t="s">
        <v>1336</v>
      </c>
    </row>
    <row r="29" spans="1:7" ht="43.2" x14ac:dyDescent="0.3">
      <c r="A29" s="42" t="s">
        <v>14</v>
      </c>
      <c r="B29" s="40" t="str">
        <f>IFERROR(VLOOKUP(A29, Terméklista!I:J, 2, FALSE), "Várom a cikkszámot...")</f>
        <v>DreamStation auto cpap</v>
      </c>
      <c r="C29" s="44" t="s">
        <v>1248</v>
      </c>
      <c r="D29" s="40" t="str">
        <f>IFERROR(VLOOKUP(C29, Terméklista!I:J, 2, FALSE), "Várom a cikkszámot...")</f>
        <v>Szivacsszűrő DreamStation 1  készülékhez 1db</v>
      </c>
      <c r="E29" s="41" t="s">
        <v>1250</v>
      </c>
      <c r="F29" s="41"/>
      <c r="G29" s="41" t="s">
        <v>1318</v>
      </c>
    </row>
    <row r="30" spans="1:7" ht="43.2" x14ac:dyDescent="0.3">
      <c r="A30" s="42" t="s">
        <v>14</v>
      </c>
      <c r="B30" s="40" t="str">
        <f>IFERROR(VLOOKUP(A30, Terméklista!I:J, 2, FALSE), "Várom a cikkszámot...")</f>
        <v>DreamStation auto cpap</v>
      </c>
      <c r="C30" s="44" t="s">
        <v>1249</v>
      </c>
      <c r="D30" s="40" t="str">
        <f>IFERROR(VLOOKUP(C30, Terméklista!I:J, 2, FALSE), "Várom a cikkszámot...")</f>
        <v>Pollenszűrő Dreamstation 1 készülékhez 1cs/6db</v>
      </c>
      <c r="E30" s="41" t="s">
        <v>1250</v>
      </c>
      <c r="F30" s="41"/>
      <c r="G30" s="41" t="s">
        <v>1318</v>
      </c>
    </row>
    <row r="31" spans="1:7" ht="43.2" x14ac:dyDescent="0.3">
      <c r="A31" s="42" t="s">
        <v>14</v>
      </c>
      <c r="B31" s="40" t="str">
        <f>IFERROR(VLOOKUP(A31, Terméklista!I:J, 2, FALSE), "Várom a cikkszámot...")</f>
        <v>DreamStation auto cpap</v>
      </c>
      <c r="C31" s="44" t="s">
        <v>1242</v>
      </c>
      <c r="D31" s="40" t="str">
        <f>IFERROR(VLOOKUP(C31, Terméklista!I:J, 2, FALSE), "Várom a cikkszámot...")</f>
        <v>Baktériumszűrő</v>
      </c>
      <c r="E31" s="41" t="s">
        <v>1358</v>
      </c>
      <c r="F31" s="41"/>
      <c r="G31" s="41" t="s">
        <v>1318</v>
      </c>
    </row>
    <row r="32" spans="1:7" ht="43.2" x14ac:dyDescent="0.3">
      <c r="A32" s="42" t="s">
        <v>14</v>
      </c>
      <c r="B32" s="40" t="str">
        <f>IFERROR(VLOOKUP(A32, Terméklista!I:J, 2, FALSE), "Várom a cikkszámot...")</f>
        <v>DreamStation auto cpap</v>
      </c>
      <c r="C32" s="44" t="s">
        <v>69</v>
      </c>
      <c r="D32" s="40" t="str">
        <f>IFERROR(VLOOKUP(C32, Terméklista!I:J, 2, FALSE), "Várom a cikkszámot...")</f>
        <v xml:space="preserve">DreamStation fűthető párásító EUXH </v>
      </c>
      <c r="E32" s="41" t="s">
        <v>1250</v>
      </c>
      <c r="F32" s="41"/>
      <c r="G32" s="41" t="s">
        <v>1318</v>
      </c>
    </row>
    <row r="33" spans="1:7" ht="43.2" x14ac:dyDescent="0.3">
      <c r="A33" s="42" t="s">
        <v>14</v>
      </c>
      <c r="B33" s="40" t="str">
        <f>IFERROR(VLOOKUP(A33, Terméklista!I:J, 2, FALSE), "Várom a cikkszámot...")</f>
        <v>DreamStation auto cpap</v>
      </c>
      <c r="C33" s="44" t="s">
        <v>290</v>
      </c>
      <c r="D33" s="40" t="str">
        <f>IFERROR(VLOOKUP(C33, Terméklista!I:J, 2, FALSE), "Várom a cikkszámot...")</f>
        <v>DreamStation gégecső</v>
      </c>
      <c r="E33" s="41" t="s">
        <v>1363</v>
      </c>
      <c r="F33" s="41"/>
      <c r="G33" s="41" t="s">
        <v>1318</v>
      </c>
    </row>
    <row r="34" spans="1:7" ht="43.2" x14ac:dyDescent="0.3">
      <c r="A34" s="42" t="s">
        <v>14</v>
      </c>
      <c r="B34" s="40" t="str">
        <f>IFERROR(VLOOKUP(A34, Terméklista!I:J, 2, FALSE), "Várom a cikkszámot...")</f>
        <v>DreamStation auto cpap</v>
      </c>
      <c r="C34" s="44" t="s">
        <v>286</v>
      </c>
      <c r="D34" s="40" t="str">
        <f>IFERROR(VLOOKUP(C34, Terméklista!I:J, 2, FALSE), "Várom a cikkszámot...")</f>
        <v>Gégecső huzat</v>
      </c>
      <c r="E34" s="41" t="s">
        <v>1362</v>
      </c>
      <c r="F34" s="41"/>
      <c r="G34" s="41" t="s">
        <v>1318</v>
      </c>
    </row>
    <row r="35" spans="1:7" ht="43.2" x14ac:dyDescent="0.3">
      <c r="A35" s="42" t="s">
        <v>14</v>
      </c>
      <c r="B35" s="40" t="str">
        <f>IFERROR(VLOOKUP(A35, Terméklista!I:J, 2, FALSE), "Várom a cikkszámot...")</f>
        <v>DreamStation auto cpap</v>
      </c>
      <c r="C35" s="44" t="s">
        <v>295</v>
      </c>
      <c r="D35" s="40" t="str">
        <f>IFERROR(VLOOKUP(C35, Terméklista!I:J, 2, FALSE), "Várom a cikkszámot...")</f>
        <v>DreamStation fűthető gégecső</v>
      </c>
      <c r="E35" s="41" t="s">
        <v>1363</v>
      </c>
      <c r="F35" s="41"/>
      <c r="G35" s="41" t="s">
        <v>1318</v>
      </c>
    </row>
    <row r="36" spans="1:7" ht="43.2" x14ac:dyDescent="0.3">
      <c r="A36" s="42" t="s">
        <v>441</v>
      </c>
      <c r="B36" s="40" t="str">
        <f>IFERROR(VLOOKUP(A36, Terméklista!I:J, 2, FALSE), "Várom a cikkszámot...")</f>
        <v>DreamStation2 auto cpap</v>
      </c>
      <c r="C36" s="44">
        <v>1142587</v>
      </c>
      <c r="D36" s="40" t="str">
        <f>IFERROR(VLOOKUP(C36, Terméklista!I:J, 2, FALSE), "Várom a cikkszámot...")</f>
        <v>Szivacsszűrő DreamStation 2  készülékhez 1db</v>
      </c>
      <c r="E36" s="40" t="s">
        <v>1334</v>
      </c>
      <c r="F36" s="40"/>
      <c r="G36" s="41" t="s">
        <v>1335</v>
      </c>
    </row>
    <row r="37" spans="1:7" ht="43.2" x14ac:dyDescent="0.3">
      <c r="A37" s="42" t="s">
        <v>441</v>
      </c>
      <c r="B37" s="40" t="str">
        <f>IFERROR(VLOOKUP(A37, Terméklista!I:J, 2, FALSE), "Várom a cikkszámot...")</f>
        <v>DreamStation2 auto cpap</v>
      </c>
      <c r="C37" s="44">
        <v>1142831</v>
      </c>
      <c r="D37" s="40" t="str">
        <f>IFERROR(VLOOKUP(C37, Terméklista!I:J, 2, FALSE), "Várom a cikkszámot...")</f>
        <v>Pollenszűrő Dreamstation 2 készülékhez 1cs/6db</v>
      </c>
      <c r="E37" s="40" t="s">
        <v>1334</v>
      </c>
      <c r="F37" s="40"/>
      <c r="G37" s="41" t="s">
        <v>1335</v>
      </c>
    </row>
    <row r="38" spans="1:7" ht="43.2" x14ac:dyDescent="0.3">
      <c r="A38" s="42" t="s">
        <v>441</v>
      </c>
      <c r="B38" s="40" t="str">
        <f>IFERROR(VLOOKUP(A38, Terméklista!I:J, 2, FALSE), "Várom a cikkszámot...")</f>
        <v>DreamStation2 auto cpap</v>
      </c>
      <c r="C38" s="44" t="s">
        <v>290</v>
      </c>
      <c r="D38" s="40" t="str">
        <f>IFERROR(VLOOKUP(C38, Terméklista!I:J, 2, FALSE), "Várom a cikkszámot...")</f>
        <v>DreamStation gégecső</v>
      </c>
      <c r="E38" s="41" t="s">
        <v>1363</v>
      </c>
      <c r="F38" s="41"/>
      <c r="G38" s="41" t="s">
        <v>1335</v>
      </c>
    </row>
    <row r="39" spans="1:7" ht="43.2" x14ac:dyDescent="0.3">
      <c r="A39" s="42" t="s">
        <v>441</v>
      </c>
      <c r="B39" s="40" t="str">
        <f>IFERROR(VLOOKUP(A39, Terméklista!I:J, 2, FALSE), "Várom a cikkszámot...")</f>
        <v>DreamStation2 auto cpap</v>
      </c>
      <c r="C39" s="44" t="s">
        <v>286</v>
      </c>
      <c r="D39" s="40" t="str">
        <f>IFERROR(VLOOKUP(C39, Terméklista!I:J, 2, FALSE), "Várom a cikkszámot...")</f>
        <v>Gégecső huzat</v>
      </c>
      <c r="E39" s="41" t="s">
        <v>1362</v>
      </c>
      <c r="F39" s="41"/>
      <c r="G39" s="41" t="s">
        <v>1335</v>
      </c>
    </row>
    <row r="40" spans="1:7" ht="43.2" x14ac:dyDescent="0.3">
      <c r="A40" s="42" t="s">
        <v>441</v>
      </c>
      <c r="B40" s="40" t="str">
        <f>IFERROR(VLOOKUP(A40, Terméklista!I:J, 2, FALSE), "Várom a cikkszámot...")</f>
        <v>DreamStation2 auto cpap</v>
      </c>
      <c r="C40" s="44" t="s">
        <v>295</v>
      </c>
      <c r="D40" s="40" t="str">
        <f>IFERROR(VLOOKUP(C40, Terméklista!I:J, 2, FALSE), "Várom a cikkszámot...")</f>
        <v>DreamStation fűthető gégecső</v>
      </c>
      <c r="E40" s="41" t="s">
        <v>1363</v>
      </c>
      <c r="F40" s="41"/>
      <c r="G40" s="41" t="s">
        <v>1335</v>
      </c>
    </row>
    <row r="41" spans="1:7" ht="43.2" x14ac:dyDescent="0.3">
      <c r="A41" s="42" t="s">
        <v>441</v>
      </c>
      <c r="B41" s="40" t="str">
        <f>IFERROR(VLOOKUP(A41, Terméklista!I:J, 2, FALSE), "Várom a cikkszámot...")</f>
        <v>DreamStation2 auto cpap</v>
      </c>
      <c r="C41" s="44" t="s">
        <v>1242</v>
      </c>
      <c r="D41" s="40" t="str">
        <f>IFERROR(VLOOKUP(C41, Terméklista!I:J, 2, FALSE), "Várom a cikkszámot...")</f>
        <v>Baktériumszűrő</v>
      </c>
      <c r="E41" s="41" t="s">
        <v>1358</v>
      </c>
      <c r="F41" s="41"/>
      <c r="G41" s="41" t="s">
        <v>1335</v>
      </c>
    </row>
    <row r="42" spans="1:7" ht="43.2" x14ac:dyDescent="0.3">
      <c r="A42" s="42" t="s">
        <v>19</v>
      </c>
      <c r="B42" s="40" t="str">
        <f>IFERROR(VLOOKUP(A42, Terméklista!I:J, 2, FALSE), "Várom a cikkszámot...")</f>
        <v>AeonMed AS100A auto cpap</v>
      </c>
      <c r="C42" s="44" t="s">
        <v>180</v>
      </c>
      <c r="D42" s="40" t="str">
        <f>IFERROR(VLOOKUP(C42, Terméklista!I:J, 2, FALSE), "Várom a cikkszámot...")</f>
        <v>Pollenszűrő AS100A készülékhez 12db</v>
      </c>
      <c r="E42" s="41" t="s">
        <v>1252</v>
      </c>
      <c r="F42" s="41"/>
      <c r="G42" s="41" t="s">
        <v>1339</v>
      </c>
    </row>
    <row r="43" spans="1:7" ht="43.2" x14ac:dyDescent="0.3">
      <c r="A43" s="42" t="s">
        <v>19</v>
      </c>
      <c r="B43" s="40" t="str">
        <f>IFERROR(VLOOKUP(A43, Terméklista!I:J, 2, FALSE), "Várom a cikkszámot...")</f>
        <v>AeonMed AS100A auto cpap</v>
      </c>
      <c r="C43" s="44" t="s">
        <v>71</v>
      </c>
      <c r="D43" s="40" t="str">
        <f>IFERROR(VLOOKUP(C43, Terméklista!I:J, 2, FALSE), "Várom a cikkszámot...")</f>
        <v>Párásító AS100A készülékhez</v>
      </c>
      <c r="E43" s="41" t="s">
        <v>1252</v>
      </c>
      <c r="F43" s="41"/>
      <c r="G43" s="41" t="s">
        <v>1339</v>
      </c>
    </row>
    <row r="44" spans="1:7" ht="43.2" x14ac:dyDescent="0.3">
      <c r="A44" s="42" t="s">
        <v>19</v>
      </c>
      <c r="B44" s="40" t="str">
        <f>IFERROR(VLOOKUP(A44, Terméklista!I:J, 2, FALSE), "Várom a cikkszámot...")</f>
        <v>AeonMed AS100A auto cpap</v>
      </c>
      <c r="C44" s="44" t="s">
        <v>312</v>
      </c>
      <c r="D44" s="40" t="str">
        <f>IFERROR(VLOOKUP(C44, Terméklista!I:J, 2, FALSE), "Várom a cikkszámot...")</f>
        <v>Várom a cikkszámot...</v>
      </c>
      <c r="E44" s="41" t="s">
        <v>1252</v>
      </c>
      <c r="F44" s="41"/>
      <c r="G44" s="41" t="s">
        <v>1339</v>
      </c>
    </row>
    <row r="45" spans="1:7" ht="43.2" x14ac:dyDescent="0.3">
      <c r="A45" s="42" t="s">
        <v>23</v>
      </c>
      <c r="B45" s="40" t="str">
        <f>IFERROR(VLOOKUP(A45, Terméklista!I:J, 2, FALSE), "Várom a cikkszámot...")</f>
        <v>prisma 25S auto BiPAP</v>
      </c>
      <c r="C45" s="44" t="s">
        <v>165</v>
      </c>
      <c r="D45" s="40" t="str">
        <f>IFERROR(VLOOKUP(C45, Terméklista!I:J, 2, FALSE), "Várom a cikkszámot...")</f>
        <v>Szivacsszűrő Prisma készülékhez 1csomag/2db</v>
      </c>
      <c r="E45" s="41" t="s">
        <v>1317</v>
      </c>
      <c r="F45" s="41"/>
      <c r="G45" s="41" t="s">
        <v>1337</v>
      </c>
    </row>
    <row r="46" spans="1:7" ht="43.2" x14ac:dyDescent="0.3">
      <c r="A46" s="42" t="s">
        <v>23</v>
      </c>
      <c r="B46" s="40" t="str">
        <f>IFERROR(VLOOKUP(A46, Terméklista!I:J, 2, FALSE), "Várom a cikkszámot...")</f>
        <v>prisma 25S auto BiPAP</v>
      </c>
      <c r="C46" s="44" t="s">
        <v>171</v>
      </c>
      <c r="D46" s="40" t="str">
        <f>IFERROR(VLOOKUP(C46, Terméklista!I:J, 2, FALSE), "Várom a cikkszámot...")</f>
        <v>Pollenszűrő Prisma készülékhez 12db</v>
      </c>
      <c r="E46" s="41" t="s">
        <v>1317</v>
      </c>
      <c r="F46" s="41"/>
      <c r="G46" s="41" t="s">
        <v>1337</v>
      </c>
    </row>
    <row r="47" spans="1:7" ht="43.2" x14ac:dyDescent="0.3">
      <c r="A47" s="42" t="s">
        <v>23</v>
      </c>
      <c r="B47" s="40" t="str">
        <f>IFERROR(VLOOKUP(A47, Terméklista!I:J, 2, FALSE), "Várom a cikkszámot...")</f>
        <v>prisma 25S auto BiPAP</v>
      </c>
      <c r="C47" s="44" t="s">
        <v>1242</v>
      </c>
      <c r="D47" s="40" t="str">
        <f>IFERROR(VLOOKUP(C47, Terméklista!I:J, 2, FALSE), "Várom a cikkszámot...")</f>
        <v>Baktériumszűrő</v>
      </c>
      <c r="E47" s="41" t="s">
        <v>1358</v>
      </c>
      <c r="F47" s="41"/>
      <c r="G47" s="41" t="s">
        <v>1337</v>
      </c>
    </row>
    <row r="48" spans="1:7" ht="43.2" x14ac:dyDescent="0.3">
      <c r="A48" s="42" t="s">
        <v>23</v>
      </c>
      <c r="B48" s="40" t="str">
        <f>IFERROR(VLOOKUP(A48, Terméklista!I:J, 2, FALSE), "Várom a cikkszámot...")</f>
        <v>prisma 25S auto BiPAP</v>
      </c>
      <c r="C48" s="44" t="s">
        <v>63</v>
      </c>
      <c r="D48" s="40" t="str">
        <f>IFERROR(VLOOKUP(C48, Terméklista!I:J, 2, FALSE), "Várom a cikkszámot...")</f>
        <v>Prisma Aqua párásító fekete</v>
      </c>
      <c r="E48" s="41" t="s">
        <v>1317</v>
      </c>
      <c r="F48" s="41"/>
      <c r="G48" s="41" t="s">
        <v>1337</v>
      </c>
    </row>
    <row r="49" spans="1:7" ht="43.2" x14ac:dyDescent="0.3">
      <c r="A49" s="42" t="s">
        <v>23</v>
      </c>
      <c r="B49" s="40" t="str">
        <f>IFERROR(VLOOKUP(A49, Terméklista!I:J, 2, FALSE), "Várom a cikkszámot...")</f>
        <v>prisma 25S auto BiPAP</v>
      </c>
      <c r="C49" s="44" t="s">
        <v>288</v>
      </c>
      <c r="D49" s="40" t="str">
        <f>IFERROR(VLOOKUP(C49, Terméklista!I:J, 2, FALSE), "Várom a cikkszámot...")</f>
        <v>Gégecső SomnoBalance és Prisma készülékhez</v>
      </c>
      <c r="E49" s="41" t="s">
        <v>1361</v>
      </c>
      <c r="F49" s="41"/>
      <c r="G49" s="41" t="s">
        <v>1337</v>
      </c>
    </row>
    <row r="50" spans="1:7" ht="43.2" x14ac:dyDescent="0.3">
      <c r="A50" s="42" t="s">
        <v>23</v>
      </c>
      <c r="B50" s="40" t="str">
        <f>IFERROR(VLOOKUP(A50, Terméklista!I:J, 2, FALSE), "Várom a cikkszámot...")</f>
        <v>prisma 25S auto BiPAP</v>
      </c>
      <c r="C50" s="44" t="s">
        <v>286</v>
      </c>
      <c r="D50" s="40" t="str">
        <f>IFERROR(VLOOKUP(C50, Terméklista!I:J, 2, FALSE), "Várom a cikkszámot...")</f>
        <v>Gégecső huzat</v>
      </c>
      <c r="E50" s="41" t="s">
        <v>1362</v>
      </c>
      <c r="F50" s="41"/>
      <c r="G50" s="41" t="s">
        <v>1337</v>
      </c>
    </row>
    <row r="51" spans="1:7" ht="43.2" x14ac:dyDescent="0.3">
      <c r="A51" s="42" t="s">
        <v>23</v>
      </c>
      <c r="B51" s="40" t="str">
        <f>IFERROR(VLOOKUP(A51, Terméklista!I:J, 2, FALSE), "Várom a cikkszámot...")</f>
        <v>prisma 25S auto BiPAP</v>
      </c>
      <c r="C51" s="44" t="s">
        <v>305</v>
      </c>
      <c r="D51" s="40" t="str">
        <f>IFERROR(VLOOKUP(C51, Terméklista!I:J, 2, FALSE), "Várom a cikkszámot...")</f>
        <v>prisma DC adapter (12/24V)</v>
      </c>
      <c r="E51" s="41" t="s">
        <v>1317</v>
      </c>
      <c r="F51" s="41"/>
      <c r="G51" s="41" t="s">
        <v>1337</v>
      </c>
    </row>
    <row r="52" spans="1:7" ht="43.2" x14ac:dyDescent="0.3">
      <c r="A52" s="42" t="s">
        <v>23</v>
      </c>
      <c r="B52" s="40" t="str">
        <f>IFERROR(VLOOKUP(A52, Terméklista!I:J, 2, FALSE), "Várom a cikkszámot...")</f>
        <v>prisma 25S auto BiPAP</v>
      </c>
      <c r="C52" s="44" t="s">
        <v>314</v>
      </c>
      <c r="D52" s="40" t="str">
        <f>IFERROR(VLOOKUP(C52, Terméklista!I:J, 2, FALSE), "Várom a cikkszámot...")</f>
        <v>Csatlakozó kábel (Prisma)</v>
      </c>
      <c r="E52" s="41" t="s">
        <v>1317</v>
      </c>
      <c r="F52" s="41"/>
      <c r="G52" s="41" t="s">
        <v>1337</v>
      </c>
    </row>
    <row r="53" spans="1:7" ht="43.2" x14ac:dyDescent="0.3">
      <c r="A53" s="42" t="s">
        <v>23</v>
      </c>
      <c r="B53" s="40" t="str">
        <f>IFERROR(VLOOKUP(A53, Terméklista!I:J, 2, FALSE), "Várom a cikkszámot...")</f>
        <v>prisma 25S auto BiPAP</v>
      </c>
      <c r="C53" s="44" t="s">
        <v>307</v>
      </c>
      <c r="D53" s="40" t="str">
        <f>IFERROR(VLOOKUP(C53, Terméklista!I:J, 2, FALSE), "Várom a cikkszámot...")</f>
        <v>prisma20A tápegység</v>
      </c>
      <c r="E53" s="41" t="s">
        <v>1317</v>
      </c>
      <c r="F53" s="41"/>
      <c r="G53" s="41" t="s">
        <v>1337</v>
      </c>
    </row>
    <row r="54" spans="1:7" ht="43.2" x14ac:dyDescent="0.3">
      <c r="A54" s="42" t="s">
        <v>26</v>
      </c>
      <c r="B54" s="40" t="str">
        <f>IFERROR(VLOOKUP(A54, Terméklista!I:J, 2, FALSE), "Várom a cikkszámot...")</f>
        <v>prisma30ST</v>
      </c>
      <c r="C54" s="44" t="s">
        <v>165</v>
      </c>
      <c r="D54" s="40" t="str">
        <f>IFERROR(VLOOKUP(C54, Terméklista!I:J, 2, FALSE), "Várom a cikkszámot...")</f>
        <v>Szivacsszűrő Prisma készülékhez 1csomag/2db</v>
      </c>
      <c r="E54" s="41" t="s">
        <v>1317</v>
      </c>
      <c r="F54" s="41"/>
      <c r="G54" s="41" t="s">
        <v>1336</v>
      </c>
    </row>
    <row r="55" spans="1:7" ht="43.2" x14ac:dyDescent="0.3">
      <c r="A55" s="42" t="s">
        <v>26</v>
      </c>
      <c r="B55" s="40" t="str">
        <f>IFERROR(VLOOKUP(A55, Terméklista!I:J, 2, FALSE), "Várom a cikkszámot...")</f>
        <v>prisma30ST</v>
      </c>
      <c r="C55" s="44" t="s">
        <v>171</v>
      </c>
      <c r="D55" s="40" t="str">
        <f>IFERROR(VLOOKUP(C55, Terméklista!I:J, 2, FALSE), "Várom a cikkszámot...")</f>
        <v>Pollenszűrő Prisma készülékhez 12db</v>
      </c>
      <c r="E55" s="41" t="s">
        <v>1317</v>
      </c>
      <c r="F55" s="41"/>
      <c r="G55" s="41" t="s">
        <v>1336</v>
      </c>
    </row>
    <row r="56" spans="1:7" ht="43.2" x14ac:dyDescent="0.3">
      <c r="A56" s="42" t="s">
        <v>26</v>
      </c>
      <c r="B56" s="40" t="str">
        <f>IFERROR(VLOOKUP(A56, Terméklista!I:J, 2, FALSE), "Várom a cikkszámot...")</f>
        <v>prisma30ST</v>
      </c>
      <c r="C56" s="44" t="s">
        <v>1242</v>
      </c>
      <c r="D56" s="40" t="str">
        <f>IFERROR(VLOOKUP(C56, Terméklista!I:J, 2, FALSE), "Várom a cikkszámot...")</f>
        <v>Baktériumszűrő</v>
      </c>
      <c r="E56" s="41" t="s">
        <v>1358</v>
      </c>
      <c r="F56" s="41"/>
      <c r="G56" s="41" t="s">
        <v>1336</v>
      </c>
    </row>
    <row r="57" spans="1:7" ht="43.2" x14ac:dyDescent="0.3">
      <c r="A57" s="42" t="s">
        <v>26</v>
      </c>
      <c r="B57" s="40" t="str">
        <f>IFERROR(VLOOKUP(A57, Terméklista!I:J, 2, FALSE), "Várom a cikkszámot...")</f>
        <v>prisma30ST</v>
      </c>
      <c r="C57" s="44" t="s">
        <v>63</v>
      </c>
      <c r="D57" s="40" t="str">
        <f>IFERROR(VLOOKUP(C57, Terméklista!I:J, 2, FALSE), "Várom a cikkszámot...")</f>
        <v>Prisma Aqua párásító fekete</v>
      </c>
      <c r="E57" s="41" t="s">
        <v>1317</v>
      </c>
      <c r="F57" s="41"/>
      <c r="G57" s="41" t="s">
        <v>1336</v>
      </c>
    </row>
    <row r="58" spans="1:7" ht="43.2" x14ac:dyDescent="0.3">
      <c r="A58" s="42" t="s">
        <v>26</v>
      </c>
      <c r="B58" s="40" t="str">
        <f>IFERROR(VLOOKUP(A58, Terméklista!I:J, 2, FALSE), "Várom a cikkszámot...")</f>
        <v>prisma30ST</v>
      </c>
      <c r="C58" s="44" t="s">
        <v>288</v>
      </c>
      <c r="D58" s="40" t="str">
        <f>IFERROR(VLOOKUP(C58, Terméklista!I:J, 2, FALSE), "Várom a cikkszámot...")</f>
        <v>Gégecső SomnoBalance és Prisma készülékhez</v>
      </c>
      <c r="E58" s="41" t="s">
        <v>1361</v>
      </c>
      <c r="F58" s="41"/>
      <c r="G58" s="41" t="s">
        <v>1336</v>
      </c>
    </row>
    <row r="59" spans="1:7" ht="43.2" x14ac:dyDescent="0.3">
      <c r="A59" s="42" t="s">
        <v>26</v>
      </c>
      <c r="B59" s="40" t="str">
        <f>IFERROR(VLOOKUP(A59, Terméklista!I:J, 2, FALSE), "Várom a cikkszámot...")</f>
        <v>prisma30ST</v>
      </c>
      <c r="C59" s="44" t="s">
        <v>286</v>
      </c>
      <c r="D59" s="40" t="str">
        <f>IFERROR(VLOOKUP(C59, Terméklista!I:J, 2, FALSE), "Várom a cikkszámot...")</f>
        <v>Gégecső huzat</v>
      </c>
      <c r="E59" s="41" t="s">
        <v>1362</v>
      </c>
      <c r="F59" s="41"/>
      <c r="G59" s="41" t="s">
        <v>1336</v>
      </c>
    </row>
    <row r="60" spans="1:7" ht="43.2" x14ac:dyDescent="0.3">
      <c r="A60" s="42" t="s">
        <v>26</v>
      </c>
      <c r="B60" s="40" t="str">
        <f>IFERROR(VLOOKUP(A60, Terméklista!I:J, 2, FALSE), "Várom a cikkszámot...")</f>
        <v>prisma30ST</v>
      </c>
      <c r="C60" s="44" t="s">
        <v>305</v>
      </c>
      <c r="D60" s="40" t="str">
        <f>IFERROR(VLOOKUP(C60, Terméklista!I:J, 2, FALSE), "Várom a cikkszámot...")</f>
        <v>prisma DC adapter (12/24V)</v>
      </c>
      <c r="E60" s="41" t="s">
        <v>1317</v>
      </c>
      <c r="F60" s="41"/>
      <c r="G60" s="41" t="s">
        <v>1336</v>
      </c>
    </row>
    <row r="61" spans="1:7" ht="43.2" x14ac:dyDescent="0.3">
      <c r="A61" s="42" t="s">
        <v>26</v>
      </c>
      <c r="B61" s="40" t="str">
        <f>IFERROR(VLOOKUP(A61, Terméklista!I:J, 2, FALSE), "Várom a cikkszámot...")</f>
        <v>prisma30ST</v>
      </c>
      <c r="C61" s="44" t="s">
        <v>314</v>
      </c>
      <c r="D61" s="40" t="str">
        <f>IFERROR(VLOOKUP(C61, Terméklista!I:J, 2, FALSE), "Várom a cikkszámot...")</f>
        <v>Csatlakozó kábel (Prisma)</v>
      </c>
      <c r="E61" s="41" t="s">
        <v>1317</v>
      </c>
      <c r="F61" s="41"/>
      <c r="G61" s="41" t="s">
        <v>1336</v>
      </c>
    </row>
    <row r="62" spans="1:7" ht="43.2" x14ac:dyDescent="0.3">
      <c r="A62" s="42" t="s">
        <v>26</v>
      </c>
      <c r="B62" s="40" t="str">
        <f>IFERROR(VLOOKUP(A62, Terméklista!I:J, 2, FALSE), "Várom a cikkszámot...")</f>
        <v>prisma30ST</v>
      </c>
      <c r="C62" s="44" t="s">
        <v>307</v>
      </c>
      <c r="D62" s="40" t="str">
        <f>IFERROR(VLOOKUP(C62, Terméklista!I:J, 2, FALSE), "Várom a cikkszámot...")</f>
        <v>prisma20A tápegység</v>
      </c>
      <c r="E62" s="41" t="s">
        <v>1317</v>
      </c>
      <c r="F62" s="41"/>
      <c r="G62" s="41" t="s">
        <v>1336</v>
      </c>
    </row>
    <row r="63" spans="1:7" ht="43.2" x14ac:dyDescent="0.3">
      <c r="A63" s="42" t="s">
        <v>28</v>
      </c>
      <c r="B63" s="40" t="str">
        <f>IFERROR(VLOOKUP(A63, Terméklista!I:J, 2, FALSE), "Várom a cikkszámot...")</f>
        <v>prismaCR</v>
      </c>
      <c r="C63" s="44" t="s">
        <v>165</v>
      </c>
      <c r="D63" s="40" t="str">
        <f>IFERROR(VLOOKUP(C63, Terméklista!I:J, 2, FALSE), "Várom a cikkszámot...")</f>
        <v>Szivacsszűrő Prisma készülékhez 1csomag/2db</v>
      </c>
      <c r="E63" s="41" t="s">
        <v>1317</v>
      </c>
      <c r="F63" s="41"/>
      <c r="G63" s="41" t="s">
        <v>1336</v>
      </c>
    </row>
    <row r="64" spans="1:7" ht="43.2" x14ac:dyDescent="0.3">
      <c r="A64" s="42" t="s">
        <v>28</v>
      </c>
      <c r="B64" s="40" t="str">
        <f>IFERROR(VLOOKUP(A64, Terméklista!I:J, 2, FALSE), "Várom a cikkszámot...")</f>
        <v>prismaCR</v>
      </c>
      <c r="C64" s="44" t="s">
        <v>171</v>
      </c>
      <c r="D64" s="40" t="str">
        <f>IFERROR(VLOOKUP(C64, Terméklista!I:J, 2, FALSE), "Várom a cikkszámot...")</f>
        <v>Pollenszűrő Prisma készülékhez 12db</v>
      </c>
      <c r="E64" s="41" t="s">
        <v>1317</v>
      </c>
      <c r="F64" s="41"/>
      <c r="G64" s="41" t="s">
        <v>1336</v>
      </c>
    </row>
    <row r="65" spans="1:7" ht="43.2" x14ac:dyDescent="0.3">
      <c r="A65" s="42" t="s">
        <v>28</v>
      </c>
      <c r="B65" s="40" t="str">
        <f>IFERROR(VLOOKUP(A65, Terméklista!I:J, 2, FALSE), "Várom a cikkszámot...")</f>
        <v>prismaCR</v>
      </c>
      <c r="C65" s="44" t="s">
        <v>1242</v>
      </c>
      <c r="D65" s="40" t="str">
        <f>IFERROR(VLOOKUP(C65, Terméklista!I:J, 2, FALSE), "Várom a cikkszámot...")</f>
        <v>Baktériumszűrő</v>
      </c>
      <c r="E65" s="41" t="s">
        <v>1358</v>
      </c>
      <c r="F65" s="41"/>
      <c r="G65" s="41" t="s">
        <v>1336</v>
      </c>
    </row>
    <row r="66" spans="1:7" ht="43.2" x14ac:dyDescent="0.3">
      <c r="A66" s="42" t="s">
        <v>28</v>
      </c>
      <c r="B66" s="40" t="str">
        <f>IFERROR(VLOOKUP(A66, Terméklista!I:J, 2, FALSE), "Várom a cikkszámot...")</f>
        <v>prismaCR</v>
      </c>
      <c r="C66" s="44" t="s">
        <v>63</v>
      </c>
      <c r="D66" s="40" t="str">
        <f>IFERROR(VLOOKUP(C66, Terméklista!I:J, 2, FALSE), "Várom a cikkszámot...")</f>
        <v>Prisma Aqua párásító fekete</v>
      </c>
      <c r="E66" s="41" t="s">
        <v>1317</v>
      </c>
      <c r="F66" s="41"/>
      <c r="G66" s="41" t="s">
        <v>1336</v>
      </c>
    </row>
    <row r="67" spans="1:7" ht="43.2" x14ac:dyDescent="0.3">
      <c r="A67" s="42" t="s">
        <v>28</v>
      </c>
      <c r="B67" s="40" t="str">
        <f>IFERROR(VLOOKUP(A67, Terméklista!I:J, 2, FALSE), "Várom a cikkszámot...")</f>
        <v>prismaCR</v>
      </c>
      <c r="C67" s="44" t="s">
        <v>288</v>
      </c>
      <c r="D67" s="40" t="str">
        <f>IFERROR(VLOOKUP(C67, Terméklista!I:J, 2, FALSE), "Várom a cikkszámot...")</f>
        <v>Gégecső SomnoBalance és Prisma készülékhez</v>
      </c>
      <c r="E67" s="41" t="s">
        <v>1361</v>
      </c>
      <c r="F67" s="41"/>
      <c r="G67" s="41" t="s">
        <v>1336</v>
      </c>
    </row>
    <row r="68" spans="1:7" ht="43.2" x14ac:dyDescent="0.3">
      <c r="A68" s="42" t="s">
        <v>28</v>
      </c>
      <c r="B68" s="40" t="str">
        <f>IFERROR(VLOOKUP(A68, Terméklista!I:J, 2, FALSE), "Várom a cikkszámot...")</f>
        <v>prismaCR</v>
      </c>
      <c r="C68" s="44" t="s">
        <v>286</v>
      </c>
      <c r="D68" s="40" t="str">
        <f>IFERROR(VLOOKUP(C68, Terméklista!I:J, 2, FALSE), "Várom a cikkszámot...")</f>
        <v>Gégecső huzat</v>
      </c>
      <c r="E68" s="41" t="s">
        <v>1362</v>
      </c>
      <c r="F68" s="41"/>
      <c r="G68" s="41" t="s">
        <v>1336</v>
      </c>
    </row>
    <row r="69" spans="1:7" ht="43.2" x14ac:dyDescent="0.3">
      <c r="A69" s="42" t="s">
        <v>28</v>
      </c>
      <c r="B69" s="40" t="str">
        <f>IFERROR(VLOOKUP(A69, Terméklista!I:J, 2, FALSE), "Várom a cikkszámot...")</f>
        <v>prismaCR</v>
      </c>
      <c r="C69" s="44" t="s">
        <v>305</v>
      </c>
      <c r="D69" s="40" t="str">
        <f>IFERROR(VLOOKUP(C69, Terméklista!I:J, 2, FALSE), "Várom a cikkszámot...")</f>
        <v>prisma DC adapter (12/24V)</v>
      </c>
      <c r="E69" s="41" t="s">
        <v>1317</v>
      </c>
      <c r="F69" s="41"/>
      <c r="G69" s="41" t="s">
        <v>1336</v>
      </c>
    </row>
    <row r="70" spans="1:7" ht="43.2" x14ac:dyDescent="0.3">
      <c r="A70" s="42" t="s">
        <v>28</v>
      </c>
      <c r="B70" s="40" t="str">
        <f>IFERROR(VLOOKUP(A70, Terméklista!I:J, 2, FALSE), "Várom a cikkszámot...")</f>
        <v>prismaCR</v>
      </c>
      <c r="C70" s="44" t="s">
        <v>314</v>
      </c>
      <c r="D70" s="40" t="str">
        <f>IFERROR(VLOOKUP(C70, Terméklista!I:J, 2, FALSE), "Várom a cikkszámot...")</f>
        <v>Csatlakozó kábel (Prisma)</v>
      </c>
      <c r="E70" s="41" t="s">
        <v>1317</v>
      </c>
      <c r="F70" s="41"/>
      <c r="G70" s="41" t="s">
        <v>1336</v>
      </c>
    </row>
    <row r="71" spans="1:7" ht="43.2" x14ac:dyDescent="0.3">
      <c r="A71" s="42" t="s">
        <v>28</v>
      </c>
      <c r="B71" s="40" t="str">
        <f>IFERROR(VLOOKUP(A71, Terméklista!I:J, 2, FALSE), "Várom a cikkszámot...")</f>
        <v>prismaCR</v>
      </c>
      <c r="C71" s="44" t="s">
        <v>307</v>
      </c>
      <c r="D71" s="40" t="str">
        <f>IFERROR(VLOOKUP(C71, Terméklista!I:J, 2, FALSE), "Várom a cikkszámot...")</f>
        <v>prisma20A tápegység</v>
      </c>
      <c r="E71" s="41" t="s">
        <v>1317</v>
      </c>
      <c r="F71" s="41"/>
      <c r="G71" s="41" t="s">
        <v>1336</v>
      </c>
    </row>
    <row r="72" spans="1:7" ht="43.2" x14ac:dyDescent="0.3">
      <c r="A72" s="42" t="s">
        <v>877</v>
      </c>
      <c r="B72" s="40" t="str">
        <f>IFERROR(VLOOKUP(A72, Terméklista!I:J, 2, FALSE), "Várom a cikkszámot...")</f>
        <v>SomnoBalance (e) auto cpap fehér</v>
      </c>
      <c r="C72" s="44" t="s">
        <v>167</v>
      </c>
      <c r="D72" s="40" t="str">
        <f>IFERROR(VLOOKUP(C72, Terméklista!I:J, 2, FALSE), "Várom a cikkszámot...")</f>
        <v>Szivacsszűrő SomnoBalance készülékhez 1csomag/2db</v>
      </c>
      <c r="E72" s="41" t="s">
        <v>1253</v>
      </c>
      <c r="F72" s="41"/>
      <c r="G72" s="41" t="s">
        <v>1338</v>
      </c>
    </row>
    <row r="73" spans="1:7" ht="43.2" x14ac:dyDescent="0.3">
      <c r="A73" s="42" t="s">
        <v>877</v>
      </c>
      <c r="B73" s="40" t="str">
        <f>IFERROR(VLOOKUP(A73, Terméklista!I:J, 2, FALSE), "Várom a cikkszámot...")</f>
        <v>SomnoBalance (e) auto cpap fehér</v>
      </c>
      <c r="C73" s="44" t="s">
        <v>175</v>
      </c>
      <c r="D73" s="40" t="str">
        <f>IFERROR(VLOOKUP(C73, Terméklista!I:J, 2, FALSE), "Várom a cikkszámot...")</f>
        <v>Várom a cikkszámot...</v>
      </c>
      <c r="E73" s="41" t="s">
        <v>1253</v>
      </c>
      <c r="F73" s="41"/>
      <c r="G73" s="41" t="s">
        <v>1338</v>
      </c>
    </row>
    <row r="74" spans="1:7" ht="43.2" x14ac:dyDescent="0.3">
      <c r="A74" s="42" t="s">
        <v>877</v>
      </c>
      <c r="B74" s="40" t="str">
        <f>IFERROR(VLOOKUP(A74, Terméklista!I:J, 2, FALSE), "Várom a cikkszámot...")</f>
        <v>SomnoBalance (e) auto cpap fehér</v>
      </c>
      <c r="C74" s="44" t="s">
        <v>1242</v>
      </c>
      <c r="D74" s="40" t="str">
        <f>IFERROR(VLOOKUP(C74, Terméklista!I:J, 2, FALSE), "Várom a cikkszámot...")</f>
        <v>Baktériumszűrő</v>
      </c>
      <c r="E74" s="41" t="s">
        <v>1360</v>
      </c>
      <c r="F74" s="41"/>
      <c r="G74" s="41" t="s">
        <v>1338</v>
      </c>
    </row>
    <row r="75" spans="1:7" ht="43.2" x14ac:dyDescent="0.3">
      <c r="A75" s="42" t="s">
        <v>877</v>
      </c>
      <c r="B75" s="40" t="str">
        <f>IFERROR(VLOOKUP(A75, Terméklista!I:J, 2, FALSE), "Várom a cikkszámot...")</f>
        <v>SomnoBalance (e) auto cpap fehér</v>
      </c>
      <c r="C75" s="44" t="s">
        <v>66</v>
      </c>
      <c r="D75" s="40" t="str">
        <f>IFERROR(VLOOKUP(C75, Terméklista!I:J, 2, FALSE), "Várom a cikkszámot...")</f>
        <v>SomnoAqua fűtött párásító</v>
      </c>
      <c r="E75" s="41" t="s">
        <v>1253</v>
      </c>
      <c r="F75" s="41"/>
      <c r="G75" s="41" t="s">
        <v>1338</v>
      </c>
    </row>
    <row r="76" spans="1:7" ht="43.2" x14ac:dyDescent="0.3">
      <c r="A76" s="42" t="s">
        <v>877</v>
      </c>
      <c r="B76" s="40" t="str">
        <f>IFERROR(VLOOKUP(A76, Terméklista!I:J, 2, FALSE), "Várom a cikkszámot...")</f>
        <v>SomnoBalance (e) auto cpap fehér</v>
      </c>
      <c r="C76" s="44" t="s">
        <v>297</v>
      </c>
      <c r="D76" s="40" t="str">
        <f>IFERROR(VLOOKUP(C76, Terméklista!I:J, 2, FALSE), "Várom a cikkszámot...")</f>
        <v>SOMNOaqua párásító dugó</v>
      </c>
      <c r="E76" s="41" t="s">
        <v>1253</v>
      </c>
      <c r="F76" s="41"/>
      <c r="G76" s="41" t="s">
        <v>1338</v>
      </c>
    </row>
    <row r="77" spans="1:7" ht="43.2" x14ac:dyDescent="0.3">
      <c r="A77" s="42" t="s">
        <v>877</v>
      </c>
      <c r="B77" s="40" t="str">
        <f>IFERROR(VLOOKUP(A77, Terméklista!I:J, 2, FALSE), "Várom a cikkszámot...")</f>
        <v>SomnoBalance (e) auto cpap fehér</v>
      </c>
      <c r="C77" s="44" t="s">
        <v>299</v>
      </c>
      <c r="D77" s="40" t="str">
        <f>IFERROR(VLOOKUP(C77, Terméklista!I:J, 2, FALSE), "Várom a cikkszámot...")</f>
        <v>Várom a cikkszámot...</v>
      </c>
      <c r="E77" s="41" t="s">
        <v>1253</v>
      </c>
      <c r="F77" s="41"/>
      <c r="G77" s="41" t="s">
        <v>1338</v>
      </c>
    </row>
    <row r="78" spans="1:7" ht="43.2" x14ac:dyDescent="0.3">
      <c r="A78" s="42" t="s">
        <v>877</v>
      </c>
      <c r="B78" s="40" t="str">
        <f>IFERROR(VLOOKUP(A78, Terméklista!I:J, 2, FALSE), "Várom a cikkszámot...")</f>
        <v>SomnoBalance (e) auto cpap fehér</v>
      </c>
      <c r="C78" s="44" t="s">
        <v>288</v>
      </c>
      <c r="D78" s="40" t="str">
        <f>IFERROR(VLOOKUP(C78, Terméklista!I:J, 2, FALSE), "Várom a cikkszámot...")</f>
        <v>Gégecső SomnoBalance és Prisma készülékhez</v>
      </c>
      <c r="E78" s="41" t="s">
        <v>1359</v>
      </c>
      <c r="F78" s="41"/>
      <c r="G78" s="41" t="s">
        <v>1338</v>
      </c>
    </row>
    <row r="79" spans="1:7" ht="43.2" x14ac:dyDescent="0.3">
      <c r="A79" s="42" t="s">
        <v>877</v>
      </c>
      <c r="B79" s="40" t="str">
        <f>IFERROR(VLOOKUP(A79, Terméklista!I:J, 2, FALSE), "Várom a cikkszámot...")</f>
        <v>SomnoBalance (e) auto cpap fehér</v>
      </c>
      <c r="C79" s="44" t="s">
        <v>309</v>
      </c>
      <c r="D79" s="40" t="str">
        <f>IFERROR(VLOOKUP(C79, Terméklista!I:J, 2, FALSE), "Várom a cikkszámot...")</f>
        <v>SOMNObalance tápegység</v>
      </c>
      <c r="E79" s="41" t="s">
        <v>1253</v>
      </c>
      <c r="F79" s="41"/>
      <c r="G79" s="41" t="s">
        <v>1338</v>
      </c>
    </row>
    <row r="80" spans="1:7" ht="43.2" x14ac:dyDescent="0.3">
      <c r="A80" s="42" t="s">
        <v>877</v>
      </c>
      <c r="B80" s="40" t="str">
        <f>IFERROR(VLOOKUP(A80, Terméklista!I:J, 2, FALSE), "Várom a cikkszámot...")</f>
        <v>SomnoBalance (e) auto cpap fehér</v>
      </c>
      <c r="C80" s="44" t="s">
        <v>320</v>
      </c>
      <c r="D80" s="40" t="str">
        <f>IFERROR(VLOOKUP(C80, Terméklista!I:J, 2, FALSE), "Várom a cikkszámot...")</f>
        <v>Somno SD-kártya</v>
      </c>
      <c r="E80" s="41" t="s">
        <v>1361</v>
      </c>
      <c r="F80" s="41"/>
      <c r="G80" s="41" t="s">
        <v>1338</v>
      </c>
    </row>
    <row r="81" spans="1:7" ht="43.2" x14ac:dyDescent="0.3">
      <c r="A81" s="42" t="s">
        <v>877</v>
      </c>
      <c r="B81" s="40" t="str">
        <f>IFERROR(VLOOKUP(A81, Terméklista!I:J, 2, FALSE), "Várom a cikkszámot...")</f>
        <v>SomnoBalance (e) auto cpap fehér</v>
      </c>
      <c r="C81" s="44" t="s">
        <v>286</v>
      </c>
      <c r="D81" s="40" t="str">
        <f>IFERROR(VLOOKUP(C81, Terméklista!I:J, 2, FALSE), "Várom a cikkszámot...")</f>
        <v>Gégecső huzat</v>
      </c>
      <c r="E81" s="41" t="s">
        <v>1362</v>
      </c>
      <c r="F81" s="41"/>
      <c r="G81" s="41" t="s">
        <v>1338</v>
      </c>
    </row>
    <row r="82" spans="1:7" ht="43.2" x14ac:dyDescent="0.3">
      <c r="A82" s="42" t="s">
        <v>36</v>
      </c>
      <c r="B82" s="40" t="str">
        <f>IFERROR(VLOOKUP(A82, Terméklista!I:J, 2, FALSE), "Várom a cikkszámot...")</f>
        <v>Remstar Auto A-Flex</v>
      </c>
      <c r="C82" s="44">
        <v>1029330</v>
      </c>
      <c r="D82" s="40" t="str">
        <f>IFERROR(VLOOKUP(C82, Terméklista!I:J, 2, FALSE), "Várom a cikkszámot...")</f>
        <v>Szivacsszűrő Remstar Philips készülékhez 1csomag/2db</v>
      </c>
      <c r="E82" s="40" t="s">
        <v>1257</v>
      </c>
      <c r="F82" s="40"/>
      <c r="G82" s="41" t="s">
        <v>1340</v>
      </c>
    </row>
    <row r="83" spans="1:7" ht="43.2" x14ac:dyDescent="0.3">
      <c r="A83" s="42" t="s">
        <v>36</v>
      </c>
      <c r="B83" s="40" t="str">
        <f>IFERROR(VLOOKUP(A83, Terméklista!I:J, 2, FALSE), "Várom a cikkszámot...")</f>
        <v>Remstar Auto A-Flex</v>
      </c>
      <c r="C83" s="44">
        <v>1029331</v>
      </c>
      <c r="D83" s="40" t="str">
        <f>IFERROR(VLOOKUP(C83, Terméklista!I:J, 2, FALSE), "Várom a cikkszámot...")</f>
        <v>Pollenszűrő Remstar Philips készülékhez 1cs/6db</v>
      </c>
      <c r="E83" s="40" t="s">
        <v>1257</v>
      </c>
      <c r="F83" s="40"/>
      <c r="G83" s="41" t="s">
        <v>1340</v>
      </c>
    </row>
    <row r="84" spans="1:7" ht="43.2" x14ac:dyDescent="0.3">
      <c r="A84" s="42" t="s">
        <v>36</v>
      </c>
      <c r="B84" s="40" t="str">
        <f>IFERROR(VLOOKUP(A84, Terméklista!I:J, 2, FALSE), "Várom a cikkszámot...")</f>
        <v>Remstar Auto A-Flex</v>
      </c>
      <c r="C84" s="44">
        <v>1032907</v>
      </c>
      <c r="D84" s="40" t="str">
        <f>IFERROR(VLOOKUP(C84, Terméklista!I:J, 2, FALSE), "Várom a cikkszámot...")</f>
        <v>gégecső tartós fehér</v>
      </c>
      <c r="E84" s="40" t="s">
        <v>1257</v>
      </c>
      <c r="F84" s="40"/>
      <c r="G84" s="41" t="s">
        <v>1340</v>
      </c>
    </row>
    <row r="85" spans="1:7" ht="43.2" x14ac:dyDescent="0.3">
      <c r="A85" s="42" t="s">
        <v>39</v>
      </c>
      <c r="B85" s="40" t="str">
        <f>IFERROR(VLOOKUP(A85, Terméklista!I:J, 2, FALSE), "Várom a cikkszámot...")</f>
        <v>Remstar pro C-Flex</v>
      </c>
      <c r="C85" s="44">
        <v>1029330</v>
      </c>
      <c r="D85" s="40" t="str">
        <f>IFERROR(VLOOKUP(C85, Terméklista!I:J, 2, FALSE), "Várom a cikkszámot...")</f>
        <v>Szivacsszűrő Remstar Philips készülékhez 1csomag/2db</v>
      </c>
      <c r="E85" s="40" t="s">
        <v>1257</v>
      </c>
      <c r="F85" s="40"/>
      <c r="G85" s="41" t="s">
        <v>1340</v>
      </c>
    </row>
    <row r="86" spans="1:7" ht="43.2" x14ac:dyDescent="0.3">
      <c r="A86" s="42" t="s">
        <v>39</v>
      </c>
      <c r="B86" s="40" t="str">
        <f>IFERROR(VLOOKUP(A86, Terméklista!I:J, 2, FALSE), "Várom a cikkszámot...")</f>
        <v>Remstar pro C-Flex</v>
      </c>
      <c r="C86" s="44">
        <v>1029331</v>
      </c>
      <c r="D86" s="40" t="str">
        <f>IFERROR(VLOOKUP(C86, Terméklista!I:J, 2, FALSE), "Várom a cikkszámot...")</f>
        <v>Pollenszűrő Remstar Philips készülékhez 1cs/6db</v>
      </c>
      <c r="E86" s="40" t="s">
        <v>1257</v>
      </c>
      <c r="F86" s="40"/>
      <c r="G86" s="41" t="s">
        <v>1340</v>
      </c>
    </row>
    <row r="87" spans="1:7" ht="43.2" x14ac:dyDescent="0.3">
      <c r="A87" s="42" t="s">
        <v>39</v>
      </c>
      <c r="B87" s="40" t="str">
        <f>IFERROR(VLOOKUP(A87, Terméklista!I:J, 2, FALSE), "Várom a cikkszámot...")</f>
        <v>Remstar pro C-Flex</v>
      </c>
      <c r="C87" s="44">
        <v>1032907</v>
      </c>
      <c r="D87" s="40" t="str">
        <f>IFERROR(VLOOKUP(C87, Terméklista!I:J, 2, FALSE), "Várom a cikkszámot...")</f>
        <v>gégecső tartós fehér</v>
      </c>
      <c r="E87" s="40" t="s">
        <v>1257</v>
      </c>
      <c r="F87" s="40"/>
      <c r="G87" s="41" t="s">
        <v>1340</v>
      </c>
    </row>
    <row r="88" spans="1:7" ht="43.2" x14ac:dyDescent="0.3">
      <c r="A88" s="42" t="s">
        <v>42</v>
      </c>
      <c r="B88" s="40" t="str">
        <f>IFERROR(VLOOKUP(A88, Terméklista!I:J, 2, FALSE), "Várom a cikkszámot...")</f>
        <v>BiPAP Auto IN751S</v>
      </c>
      <c r="C88" s="44">
        <v>1029330</v>
      </c>
      <c r="D88" s="40" t="str">
        <f>IFERROR(VLOOKUP(C88, Terméklista!I:J, 2, FALSE), "Várom a cikkszámot...")</f>
        <v>Szivacsszűrő Remstar Philips készülékhez 1csomag/2db</v>
      </c>
      <c r="E88" s="40" t="s">
        <v>1257</v>
      </c>
      <c r="F88" s="40"/>
      <c r="G88" s="41" t="s">
        <v>1340</v>
      </c>
    </row>
    <row r="89" spans="1:7" ht="43.2" x14ac:dyDescent="0.3">
      <c r="A89" s="42" t="s">
        <v>42</v>
      </c>
      <c r="B89" s="40" t="str">
        <f>IFERROR(VLOOKUP(A89, Terméklista!I:J, 2, FALSE), "Várom a cikkszámot...")</f>
        <v>BiPAP Auto IN751S</v>
      </c>
      <c r="C89" s="44">
        <v>1029331</v>
      </c>
      <c r="D89" s="40" t="str">
        <f>IFERROR(VLOOKUP(C89, Terméklista!I:J, 2, FALSE), "Várom a cikkszámot...")</f>
        <v>Pollenszűrő Remstar Philips készülékhez 1cs/6db</v>
      </c>
      <c r="E89" s="40" t="s">
        <v>1257</v>
      </c>
      <c r="F89" s="40"/>
      <c r="G89" s="41" t="s">
        <v>1340</v>
      </c>
    </row>
    <row r="90" spans="1:7" ht="43.2" x14ac:dyDescent="0.3">
      <c r="A90" s="42" t="s">
        <v>42</v>
      </c>
      <c r="B90" s="40" t="str">
        <f>IFERROR(VLOOKUP(A90, Terméklista!I:J, 2, FALSE), "Várom a cikkszámot...")</f>
        <v>BiPAP Auto IN751S</v>
      </c>
      <c r="C90" s="44">
        <v>1032907</v>
      </c>
      <c r="D90" s="40" t="str">
        <f>IFERROR(VLOOKUP(C90, Terméklista!I:J, 2, FALSE), "Várom a cikkszámot...")</f>
        <v>gégecső tartós fehér</v>
      </c>
      <c r="E90" s="40" t="s">
        <v>1257</v>
      </c>
      <c r="F90" s="40"/>
      <c r="G90" s="41" t="s">
        <v>1340</v>
      </c>
    </row>
    <row r="91" spans="1:7" ht="43.2" x14ac:dyDescent="0.3">
      <c r="A91" s="42" t="s">
        <v>44</v>
      </c>
      <c r="B91" s="40" t="str">
        <f>IFERROR(VLOOKUP(A91, Terméklista!I:J, 2, FALSE), "Várom a cikkszámot...")</f>
        <v>BiPAP Auto M IN701S</v>
      </c>
      <c r="C91" s="44">
        <v>1029330</v>
      </c>
      <c r="D91" s="40" t="str">
        <f>IFERROR(VLOOKUP(C91, Terméklista!I:J, 2, FALSE), "Várom a cikkszámot...")</f>
        <v>Szivacsszűrő Remstar Philips készülékhez 1csomag/2db</v>
      </c>
      <c r="E91" s="40" t="s">
        <v>1257</v>
      </c>
      <c r="F91" s="40"/>
      <c r="G91" s="41" t="s">
        <v>1340</v>
      </c>
    </row>
    <row r="92" spans="1:7" ht="43.2" x14ac:dyDescent="0.3">
      <c r="A92" s="42" t="s">
        <v>44</v>
      </c>
      <c r="B92" s="40" t="str">
        <f>IFERROR(VLOOKUP(A92, Terméklista!I:J, 2, FALSE), "Várom a cikkszámot...")</f>
        <v>BiPAP Auto M IN701S</v>
      </c>
      <c r="C92" s="44">
        <v>1029331</v>
      </c>
      <c r="D92" s="40" t="str">
        <f>IFERROR(VLOOKUP(C92, Terméklista!I:J, 2, FALSE), "Várom a cikkszámot...")</f>
        <v>Pollenszűrő Remstar Philips készülékhez 1cs/6db</v>
      </c>
      <c r="E92" s="40" t="s">
        <v>1257</v>
      </c>
      <c r="F92" s="40"/>
      <c r="G92" s="41" t="s">
        <v>1340</v>
      </c>
    </row>
    <row r="93" spans="1:7" ht="43.2" x14ac:dyDescent="0.3">
      <c r="A93" s="42" t="s">
        <v>44</v>
      </c>
      <c r="B93" s="40" t="str">
        <f>IFERROR(VLOOKUP(A93, Terméklista!I:J, 2, FALSE), "Várom a cikkszámot...")</f>
        <v>BiPAP Auto M IN701S</v>
      </c>
      <c r="C93" s="44">
        <v>1032907</v>
      </c>
      <c r="D93" s="40" t="str">
        <f>IFERROR(VLOOKUP(C93, Terméklista!I:J, 2, FALSE), "Várom a cikkszámot...")</f>
        <v>gégecső tartós fehér</v>
      </c>
      <c r="E93" s="40" t="s">
        <v>1257</v>
      </c>
      <c r="F93" s="40"/>
      <c r="G93" s="41" t="s">
        <v>1340</v>
      </c>
    </row>
    <row r="94" spans="1:7" ht="43.2" x14ac:dyDescent="0.3">
      <c r="A94" s="42" t="s">
        <v>46</v>
      </c>
      <c r="B94" s="40" t="str">
        <f>IFERROR(VLOOKUP(A94, Terméklista!I:J, 2, FALSE), "Várom a cikkszámot...")</f>
        <v>Remstar CPAP Flex IN171</v>
      </c>
      <c r="C94" s="44">
        <v>1029330</v>
      </c>
      <c r="D94" s="40" t="str">
        <f>IFERROR(VLOOKUP(C94, Terméklista!I:J, 2, FALSE), "Várom a cikkszámot...")</f>
        <v>Szivacsszűrő Remstar Philips készülékhez 1csomag/2db</v>
      </c>
      <c r="E94" s="40" t="s">
        <v>1257</v>
      </c>
      <c r="F94" s="40"/>
      <c r="G94" s="41" t="s">
        <v>1340</v>
      </c>
    </row>
    <row r="95" spans="1:7" ht="43.2" x14ac:dyDescent="0.3">
      <c r="A95" s="42" t="s">
        <v>46</v>
      </c>
      <c r="B95" s="40" t="str">
        <f>IFERROR(VLOOKUP(A95, Terméklista!I:J, 2, FALSE), "Várom a cikkszámot...")</f>
        <v>Remstar CPAP Flex IN171</v>
      </c>
      <c r="C95" s="44">
        <v>1029331</v>
      </c>
      <c r="D95" s="40" t="str">
        <f>IFERROR(VLOOKUP(C95, Terméklista!I:J, 2, FALSE), "Várom a cikkszámot...")</f>
        <v>Pollenszűrő Remstar Philips készülékhez 1cs/6db</v>
      </c>
      <c r="E95" s="40" t="s">
        <v>1257</v>
      </c>
      <c r="F95" s="40"/>
      <c r="G95" s="41" t="s">
        <v>1340</v>
      </c>
    </row>
    <row r="96" spans="1:7" ht="43.2" x14ac:dyDescent="0.3">
      <c r="A96" s="42" t="s">
        <v>46</v>
      </c>
      <c r="B96" s="40" t="str">
        <f>IFERROR(VLOOKUP(A96, Terméklista!I:J, 2, FALSE), "Várom a cikkszámot...")</f>
        <v>Remstar CPAP Flex IN171</v>
      </c>
      <c r="C96" s="44">
        <v>1032907</v>
      </c>
      <c r="D96" s="40" t="str">
        <f>IFERROR(VLOOKUP(C96, Terméklista!I:J, 2, FALSE), "Várom a cikkszámot...")</f>
        <v>gégecső tartós fehér</v>
      </c>
      <c r="E96" s="40" t="s">
        <v>1257</v>
      </c>
      <c r="F96" s="40"/>
      <c r="G96" s="41" t="s">
        <v>1340</v>
      </c>
    </row>
    <row r="97" spans="1:7" ht="43.2" x14ac:dyDescent="0.3">
      <c r="A97" s="42" t="s">
        <v>48</v>
      </c>
      <c r="B97" s="40" t="str">
        <f>IFERROR(VLOOKUP(A97, Terméklista!I:J, 2, FALSE), "Várom a cikkszámot...")</f>
        <v>Remstar CPAP Flex IN251S</v>
      </c>
      <c r="C97" s="44">
        <v>1029330</v>
      </c>
      <c r="D97" s="40" t="str">
        <f>IFERROR(VLOOKUP(C97, Terméklista!I:J, 2, FALSE), "Várom a cikkszámot...")</f>
        <v>Szivacsszűrő Remstar Philips készülékhez 1csomag/2db</v>
      </c>
      <c r="E97" s="40" t="s">
        <v>1257</v>
      </c>
      <c r="F97" s="40"/>
      <c r="G97" s="41" t="s">
        <v>1340</v>
      </c>
    </row>
    <row r="98" spans="1:7" ht="43.2" x14ac:dyDescent="0.3">
      <c r="A98" s="42" t="s">
        <v>48</v>
      </c>
      <c r="B98" s="40" t="str">
        <f>IFERROR(VLOOKUP(A98, Terméklista!I:J, 2, FALSE), "Várom a cikkszámot...")</f>
        <v>Remstar CPAP Flex IN251S</v>
      </c>
      <c r="C98" s="44">
        <v>1029331</v>
      </c>
      <c r="D98" s="40" t="str">
        <f>IFERROR(VLOOKUP(C98, Terméklista!I:J, 2, FALSE), "Várom a cikkszámot...")</f>
        <v>Pollenszűrő Remstar Philips készülékhez 1cs/6db</v>
      </c>
      <c r="E98" s="40" t="s">
        <v>1257</v>
      </c>
      <c r="F98" s="40"/>
      <c r="G98" s="41" t="s">
        <v>1340</v>
      </c>
    </row>
    <row r="99" spans="1:7" ht="43.2" x14ac:dyDescent="0.3">
      <c r="A99" s="42" t="s">
        <v>48</v>
      </c>
      <c r="B99" s="40" t="str">
        <f>IFERROR(VLOOKUP(A99, Terméklista!I:J, 2, FALSE), "Várom a cikkszámot...")</f>
        <v>Remstar CPAP Flex IN251S</v>
      </c>
      <c r="C99" s="44">
        <v>1032907</v>
      </c>
      <c r="D99" s="40" t="str">
        <f>IFERROR(VLOOKUP(C99, Terméklista!I:J, 2, FALSE), "Várom a cikkszámot...")</f>
        <v>gégecső tartós fehér</v>
      </c>
      <c r="E99" s="40" t="s">
        <v>1257</v>
      </c>
      <c r="F99" s="40"/>
      <c r="G99" s="41" t="s">
        <v>1340</v>
      </c>
    </row>
    <row r="100" spans="1:7" ht="43.2" x14ac:dyDescent="0.3">
      <c r="A100" s="42" t="s">
        <v>50</v>
      </c>
      <c r="B100" s="40" t="str">
        <f>IFERROR(VLOOKUP(A100, Terméklista!I:J, 2, FALSE), "Várom a cikkszámot...")</f>
        <v>Remstar M CPAP IN101</v>
      </c>
      <c r="C100" s="44">
        <v>1029330</v>
      </c>
      <c r="D100" s="40" t="str">
        <f>IFERROR(VLOOKUP(C100, Terméklista!I:J, 2, FALSE), "Várom a cikkszámot...")</f>
        <v>Szivacsszűrő Remstar Philips készülékhez 1csomag/2db</v>
      </c>
      <c r="E100" s="40" t="s">
        <v>1257</v>
      </c>
      <c r="F100" s="40"/>
      <c r="G100" s="41" t="s">
        <v>1340</v>
      </c>
    </row>
    <row r="101" spans="1:7" ht="43.2" x14ac:dyDescent="0.3">
      <c r="A101" s="42" t="s">
        <v>50</v>
      </c>
      <c r="B101" s="40" t="str">
        <f>IFERROR(VLOOKUP(A101, Terméklista!I:J, 2, FALSE), "Várom a cikkszámot...")</f>
        <v>Remstar M CPAP IN101</v>
      </c>
      <c r="C101" s="44">
        <v>1029331</v>
      </c>
      <c r="D101" s="40" t="str">
        <f>IFERROR(VLOOKUP(C101, Terméklista!I:J, 2, FALSE), "Várom a cikkszámot...")</f>
        <v>Pollenszűrő Remstar Philips készülékhez 1cs/6db</v>
      </c>
      <c r="E101" s="40" t="s">
        <v>1257</v>
      </c>
      <c r="F101" s="40"/>
      <c r="G101" s="41" t="s">
        <v>1340</v>
      </c>
    </row>
    <row r="102" spans="1:7" ht="43.2" x14ac:dyDescent="0.3">
      <c r="A102" s="42" t="s">
        <v>50</v>
      </c>
      <c r="B102" s="40" t="str">
        <f>IFERROR(VLOOKUP(A102, Terméklista!I:J, 2, FALSE), "Várom a cikkszámot...")</f>
        <v>Remstar M CPAP IN101</v>
      </c>
      <c r="C102" s="44">
        <v>1032907</v>
      </c>
      <c r="D102" s="40" t="str">
        <f>IFERROR(VLOOKUP(C102, Terméklista!I:J, 2, FALSE), "Várom a cikkszámot...")</f>
        <v>gégecső tartós fehér</v>
      </c>
      <c r="E102" s="40" t="s">
        <v>1257</v>
      </c>
      <c r="F102" s="40"/>
      <c r="G102" s="41" t="s">
        <v>1340</v>
      </c>
    </row>
    <row r="103" spans="1:7" ht="43.2" x14ac:dyDescent="0.3">
      <c r="A103" s="42" t="s">
        <v>52</v>
      </c>
      <c r="B103" s="40" t="str">
        <f>IFERROR(VLOOKUP(A103, Terméklista!I:J, 2, FALSE), "Várom a cikkszámot...")</f>
        <v>BiPAP Auto BiFlex System one</v>
      </c>
      <c r="C103" s="44">
        <v>1029330</v>
      </c>
      <c r="D103" s="40" t="str">
        <f>IFERROR(VLOOKUP(C103, Terméklista!I:J, 2, FALSE), "Várom a cikkszámot...")</f>
        <v>Szivacsszűrő Remstar Philips készülékhez 1csomag/2db</v>
      </c>
      <c r="E103" s="40" t="s">
        <v>1257</v>
      </c>
      <c r="F103" s="40"/>
      <c r="G103" s="41" t="s">
        <v>1340</v>
      </c>
    </row>
    <row r="104" spans="1:7" ht="43.2" x14ac:dyDescent="0.3">
      <c r="A104" s="42" t="s">
        <v>52</v>
      </c>
      <c r="B104" s="40" t="str">
        <f>IFERROR(VLOOKUP(A104, Terméklista!I:J, 2, FALSE), "Várom a cikkszámot...")</f>
        <v>BiPAP Auto BiFlex System one</v>
      </c>
      <c r="C104" s="44">
        <v>1029331</v>
      </c>
      <c r="D104" s="40" t="str">
        <f>IFERROR(VLOOKUP(C104, Terméklista!I:J, 2, FALSE), "Várom a cikkszámot...")</f>
        <v>Pollenszűrő Remstar Philips készülékhez 1cs/6db</v>
      </c>
      <c r="E104" s="40" t="s">
        <v>1257</v>
      </c>
      <c r="F104" s="40"/>
      <c r="G104" s="41" t="s">
        <v>1340</v>
      </c>
    </row>
    <row r="105" spans="1:7" ht="43.2" x14ac:dyDescent="0.3">
      <c r="A105" s="42" t="s">
        <v>52</v>
      </c>
      <c r="B105" s="40" t="str">
        <f>IFERROR(VLOOKUP(A105, Terméklista!I:J, 2, FALSE), "Várom a cikkszámot...")</f>
        <v>BiPAP Auto BiFlex System one</v>
      </c>
      <c r="C105" s="44">
        <v>1032907</v>
      </c>
      <c r="D105" s="40" t="str">
        <f>IFERROR(VLOOKUP(C105, Terméklista!I:J, 2, FALSE), "Várom a cikkszámot...")</f>
        <v>gégecső tartós fehér</v>
      </c>
      <c r="E105" s="40" t="s">
        <v>1257</v>
      </c>
      <c r="F105" s="40"/>
      <c r="G105" s="41" t="s">
        <v>1340</v>
      </c>
    </row>
    <row r="106" spans="1:7" ht="43.2" x14ac:dyDescent="0.3">
      <c r="A106" s="42" t="s">
        <v>54</v>
      </c>
      <c r="B106" s="40" t="str">
        <f>IFERROR(VLOOKUP(A106, Terméklista!I:J, 2, FALSE), "Várom a cikkszámot...")</f>
        <v>BiPAP AutoSV</v>
      </c>
      <c r="C106" s="44">
        <v>1029330</v>
      </c>
      <c r="D106" s="40" t="str">
        <f>IFERROR(VLOOKUP(C106, Terméklista!I:J, 2, FALSE), "Várom a cikkszámot...")</f>
        <v>Szivacsszűrő Remstar Philips készülékhez 1csomag/2db</v>
      </c>
      <c r="E106" s="40" t="s">
        <v>1257</v>
      </c>
      <c r="F106" s="40"/>
      <c r="G106" s="41" t="s">
        <v>1340</v>
      </c>
    </row>
    <row r="107" spans="1:7" ht="43.2" x14ac:dyDescent="0.3">
      <c r="A107" s="42" t="s">
        <v>54</v>
      </c>
      <c r="B107" s="40" t="str">
        <f>IFERROR(VLOOKUP(A107, Terméklista!I:J, 2, FALSE), "Várom a cikkszámot...")</f>
        <v>BiPAP AutoSV</v>
      </c>
      <c r="C107" s="44">
        <v>1029331</v>
      </c>
      <c r="D107" s="40" t="str">
        <f>IFERROR(VLOOKUP(C107, Terméklista!I:J, 2, FALSE), "Várom a cikkszámot...")</f>
        <v>Pollenszűrő Remstar Philips készülékhez 1cs/6db</v>
      </c>
      <c r="E107" s="40" t="s">
        <v>1257</v>
      </c>
      <c r="F107" s="40"/>
      <c r="G107" s="41" t="s">
        <v>1340</v>
      </c>
    </row>
    <row r="108" spans="1:7" ht="43.2" x14ac:dyDescent="0.3">
      <c r="A108" s="42" t="s">
        <v>54</v>
      </c>
      <c r="B108" s="40" t="str">
        <f>IFERROR(VLOOKUP(A108, Terméklista!I:J, 2, FALSE), "Várom a cikkszámot...")</f>
        <v>BiPAP AutoSV</v>
      </c>
      <c r="C108" s="44">
        <v>1032907</v>
      </c>
      <c r="D108" s="40" t="str">
        <f>IFERROR(VLOOKUP(C108, Terméklista!I:J, 2, FALSE), "Várom a cikkszámot...")</f>
        <v>gégecső tartós fehér</v>
      </c>
      <c r="E108" s="40" t="s">
        <v>1257</v>
      </c>
      <c r="F108" s="40"/>
      <c r="G108" s="41" t="s">
        <v>1340</v>
      </c>
    </row>
    <row r="109" spans="1:7" ht="43.2" x14ac:dyDescent="0.3">
      <c r="A109" s="42" t="s">
        <v>57</v>
      </c>
      <c r="B109" s="40" t="str">
        <f>IFERROR(VLOOKUP(A109, Terméklista!I:J, 2, FALSE), "Várom a cikkszámot...")</f>
        <v>BiPAP Avaps</v>
      </c>
      <c r="C109" s="44">
        <v>1029330</v>
      </c>
      <c r="D109" s="40" t="str">
        <f>IFERROR(VLOOKUP(C109, Terméklista!I:J, 2, FALSE), "Várom a cikkszámot...")</f>
        <v>Szivacsszűrő Remstar Philips készülékhez 1csomag/2db</v>
      </c>
      <c r="E109" s="40" t="s">
        <v>1257</v>
      </c>
      <c r="F109" s="40"/>
      <c r="G109" s="41" t="s">
        <v>1340</v>
      </c>
    </row>
    <row r="110" spans="1:7" ht="43.2" x14ac:dyDescent="0.3">
      <c r="A110" s="42" t="s">
        <v>57</v>
      </c>
      <c r="B110" s="40" t="str">
        <f>IFERROR(VLOOKUP(A110, Terméklista!I:J, 2, FALSE), "Várom a cikkszámot...")</f>
        <v>BiPAP Avaps</v>
      </c>
      <c r="C110" s="44">
        <v>1029331</v>
      </c>
      <c r="D110" s="40" t="str">
        <f>IFERROR(VLOOKUP(C110, Terméklista!I:J, 2, FALSE), "Várom a cikkszámot...")</f>
        <v>Pollenszűrő Remstar Philips készülékhez 1cs/6db</v>
      </c>
      <c r="E110" s="40" t="s">
        <v>1257</v>
      </c>
      <c r="F110" s="40"/>
      <c r="G110" s="41" t="s">
        <v>1340</v>
      </c>
    </row>
    <row r="111" spans="1:7" ht="43.2" x14ac:dyDescent="0.3">
      <c r="A111" s="42" t="s">
        <v>57</v>
      </c>
      <c r="B111" s="40" t="str">
        <f>IFERROR(VLOOKUP(A111, Terméklista!I:J, 2, FALSE), "Várom a cikkszámot...")</f>
        <v>BiPAP Avaps</v>
      </c>
      <c r="C111" s="44">
        <v>1032907</v>
      </c>
      <c r="D111" s="40" t="str">
        <f>IFERROR(VLOOKUP(C111, Terméklista!I:J, 2, FALSE), "Várom a cikkszámot...")</f>
        <v>gégecső tartós fehér</v>
      </c>
      <c r="E111" s="40" t="s">
        <v>1257</v>
      </c>
      <c r="F111" s="40"/>
      <c r="G111" s="41" t="s">
        <v>1340</v>
      </c>
    </row>
    <row r="112" spans="1:7" ht="28.8" x14ac:dyDescent="0.3">
      <c r="A112" s="44" t="s">
        <v>60</v>
      </c>
      <c r="B112" s="40" t="str">
        <f>IFERROR(VLOOKUP(A112, Terméklista!I:J, 2, FALSE), "Várom a cikkszámot...")</f>
        <v>Prisma Aqua párásító fehér</v>
      </c>
      <c r="C112" s="44" t="s">
        <v>302</v>
      </c>
      <c r="D112" s="40" t="str">
        <f>IFERROR(VLOOKUP(C112, Terméklista!I:J, 2, FALSE), "Várom a cikkszámot...")</f>
        <v>prismaAQUA vízkamra</v>
      </c>
      <c r="E112" s="40" t="s">
        <v>1294</v>
      </c>
      <c r="G112" s="41" t="s">
        <v>1341</v>
      </c>
    </row>
    <row r="113" spans="1:7" ht="28.8" x14ac:dyDescent="0.3">
      <c r="A113" s="42" t="s">
        <v>63</v>
      </c>
      <c r="B113" s="40" t="str">
        <f>IFERROR(VLOOKUP(A113, Terméklista!I:J, 2, FALSE), "Várom a cikkszámot...")</f>
        <v>Prisma Aqua párásító fekete</v>
      </c>
      <c r="C113" s="42" t="s">
        <v>302</v>
      </c>
      <c r="D113" s="40" t="str">
        <f>IFERROR(VLOOKUP(C113, Terméklista!I:J, 2, FALSE), "Várom a cikkszámot...")</f>
        <v>prismaAQUA vízkamra</v>
      </c>
      <c r="E113" s="40" t="s">
        <v>1294</v>
      </c>
      <c r="G113" s="41" t="s">
        <v>1341</v>
      </c>
    </row>
    <row r="114" spans="1:7" ht="43.2" x14ac:dyDescent="0.3">
      <c r="A114" s="44" t="s">
        <v>66</v>
      </c>
      <c r="B114" s="40" t="str">
        <f>IFERROR(VLOOKUP(A114, Terméklista!I:J, 2, FALSE), "Várom a cikkszámot...")</f>
        <v>SomnoAqua fűtött párásító</v>
      </c>
      <c r="C114" s="44" t="s">
        <v>297</v>
      </c>
      <c r="D114" s="40" t="str">
        <f>IFERROR(VLOOKUP(C114, Terméklista!I:J, 2, FALSE), "Várom a cikkszámot...")</f>
        <v>SOMNOaqua párásító dugó</v>
      </c>
      <c r="E114" s="40" t="s">
        <v>1295</v>
      </c>
      <c r="G114" s="41" t="s">
        <v>1342</v>
      </c>
    </row>
    <row r="115" spans="1:7" ht="43.2" x14ac:dyDescent="0.3">
      <c r="A115" s="42" t="s">
        <v>66</v>
      </c>
      <c r="B115" s="40" t="str">
        <f>IFERROR(VLOOKUP(A115, Terméklista!I:J, 2, FALSE), "Várom a cikkszámot...")</f>
        <v>SomnoAqua fűtött párásító</v>
      </c>
      <c r="C115" s="42" t="s">
        <v>299</v>
      </c>
      <c r="D115" s="40" t="str">
        <f>IFERROR(VLOOKUP(C115, Terméklista!I:J, 2, FALSE), "Várom a cikkszámot...")</f>
        <v>Várom a cikkszámot...</v>
      </c>
      <c r="E115" s="40" t="s">
        <v>1295</v>
      </c>
      <c r="G115" s="41" t="s">
        <v>1342</v>
      </c>
    </row>
    <row r="116" spans="1:7" ht="43.2" x14ac:dyDescent="0.3">
      <c r="A116" s="42" t="s">
        <v>75</v>
      </c>
      <c r="B116" s="40" t="str">
        <f>IFERROR(VLOOKUP(A116, Terméklista!I:J, 2, FALSE), "Várom a cikkszámot...")</f>
        <v>Cara (XS)</v>
      </c>
      <c r="C116" s="44" t="s">
        <v>186</v>
      </c>
      <c r="D116" s="40" t="str">
        <f>IFERROR(VLOOKUP(C116, Terméklista!I:J, 2, FALSE), "Várom a cikkszámot...")</f>
        <v>Cara maszkpárna XS</v>
      </c>
      <c r="E116" s="40" t="s">
        <v>1272</v>
      </c>
      <c r="F116" s="40" t="s">
        <v>1274</v>
      </c>
      <c r="G116" s="41" t="s">
        <v>1343</v>
      </c>
    </row>
    <row r="117" spans="1:7" ht="43.2" x14ac:dyDescent="0.3">
      <c r="A117" s="42" t="s">
        <v>75</v>
      </c>
      <c r="B117" s="40" t="str">
        <f>IFERROR(VLOOKUP(A117, Terméklista!I:J, 2, FALSE), "Várom a cikkszámot...")</f>
        <v>Cara (XS)</v>
      </c>
      <c r="C117" s="44" t="s">
        <v>187</v>
      </c>
      <c r="D117" s="40" t="str">
        <f>IFERROR(VLOOKUP(C117, Terméklista!I:J, 2, FALSE), "Várom a cikkszámot...")</f>
        <v>Cara maszkpárna S/M</v>
      </c>
      <c r="E117" s="40" t="s">
        <v>1272</v>
      </c>
      <c r="F117" s="40"/>
      <c r="G117" s="41" t="s">
        <v>1343</v>
      </c>
    </row>
    <row r="118" spans="1:7" ht="43.2" x14ac:dyDescent="0.3">
      <c r="A118" s="42" t="s">
        <v>75</v>
      </c>
      <c r="B118" s="40" t="str">
        <f>IFERROR(VLOOKUP(A118, Terméklista!I:J, 2, FALSE), "Várom a cikkszámot...")</f>
        <v>Cara (XS)</v>
      </c>
      <c r="C118" s="44" t="s">
        <v>188</v>
      </c>
      <c r="D118" s="40" t="str">
        <f>IFERROR(VLOOKUP(C118, Terméklista!I:J, 2, FALSE), "Várom a cikkszámot...")</f>
        <v>Cara maszkpárna M/L</v>
      </c>
      <c r="E118" s="40" t="s">
        <v>1272</v>
      </c>
      <c r="F118" s="40"/>
      <c r="G118" s="41" t="s">
        <v>1343</v>
      </c>
    </row>
    <row r="119" spans="1:7" ht="43.2" x14ac:dyDescent="0.3">
      <c r="A119" s="42" t="s">
        <v>75</v>
      </c>
      <c r="B119" s="40" t="str">
        <f>IFERROR(VLOOKUP(A119, Terméklista!I:J, 2, FALSE), "Várom a cikkszámot...")</f>
        <v>Cara (XS)</v>
      </c>
      <c r="C119" s="44" t="s">
        <v>189</v>
      </c>
      <c r="D119" s="40" t="str">
        <f>IFERROR(VLOOKUP(C119, Terméklista!I:J, 2, FALSE), "Várom a cikkszámot...")</f>
        <v>Cara maszkpárna XL</v>
      </c>
      <c r="E119" s="40" t="s">
        <v>1272</v>
      </c>
      <c r="F119" s="40"/>
      <c r="G119" s="41" t="s">
        <v>1343</v>
      </c>
    </row>
    <row r="120" spans="1:7" ht="43.2" x14ac:dyDescent="0.3">
      <c r="A120" s="42" t="s">
        <v>75</v>
      </c>
      <c r="B120" s="40" t="str">
        <f>IFERROR(VLOOKUP(A120, Terméklista!I:J, 2, FALSE), "Várom a cikkszámot...")</f>
        <v>Cara (XS)</v>
      </c>
      <c r="C120" s="44" t="s">
        <v>253</v>
      </c>
      <c r="D120" s="40" t="str">
        <f>IFERROR(VLOOKUP(C120, Terméklista!I:J, 2, FALSE), "Várom a cikkszámot...")</f>
        <v>Cara fejpánt</v>
      </c>
      <c r="E120" s="40" t="s">
        <v>1272</v>
      </c>
      <c r="F120" s="40"/>
      <c r="G120" s="41" t="s">
        <v>1343</v>
      </c>
    </row>
    <row r="121" spans="1:7" ht="43.2" x14ac:dyDescent="0.3">
      <c r="A121" s="42" t="s">
        <v>77</v>
      </c>
      <c r="B121" s="40" t="str">
        <f>IFERROR(VLOOKUP(A121, Terméklista!I:J, 2, FALSE), "Várom a cikkszámot...")</f>
        <v>Cara (S/M)</v>
      </c>
      <c r="C121" s="44" t="s">
        <v>186</v>
      </c>
      <c r="D121" s="40" t="str">
        <f>IFERROR(VLOOKUP(C121, Terméklista!I:J, 2, FALSE), "Várom a cikkszámot...")</f>
        <v>Cara maszkpárna XS</v>
      </c>
      <c r="E121" s="40" t="s">
        <v>1272</v>
      </c>
      <c r="F121" s="40" t="s">
        <v>1274</v>
      </c>
      <c r="G121" s="41" t="s">
        <v>1343</v>
      </c>
    </row>
    <row r="122" spans="1:7" ht="43.2" x14ac:dyDescent="0.3">
      <c r="A122" s="42" t="s">
        <v>77</v>
      </c>
      <c r="B122" s="40" t="str">
        <f>IFERROR(VLOOKUP(A122, Terméklista!I:J, 2, FALSE), "Várom a cikkszámot...")</f>
        <v>Cara (S/M)</v>
      </c>
      <c r="C122" s="44" t="s">
        <v>187</v>
      </c>
      <c r="D122" s="40" t="str">
        <f>IFERROR(VLOOKUP(C122, Terméklista!I:J, 2, FALSE), "Várom a cikkszámot...")</f>
        <v>Cara maszkpárna S/M</v>
      </c>
      <c r="E122" s="40" t="s">
        <v>1272</v>
      </c>
      <c r="F122" s="40"/>
      <c r="G122" s="41" t="s">
        <v>1343</v>
      </c>
    </row>
    <row r="123" spans="1:7" ht="43.2" x14ac:dyDescent="0.3">
      <c r="A123" s="42" t="s">
        <v>77</v>
      </c>
      <c r="B123" s="40" t="str">
        <f>IFERROR(VLOOKUP(A123, Terméklista!I:J, 2, FALSE), "Várom a cikkszámot...")</f>
        <v>Cara (S/M)</v>
      </c>
      <c r="C123" s="44" t="s">
        <v>188</v>
      </c>
      <c r="D123" s="40" t="str">
        <f>IFERROR(VLOOKUP(C123, Terméklista!I:J, 2, FALSE), "Várom a cikkszámot...")</f>
        <v>Cara maszkpárna M/L</v>
      </c>
      <c r="E123" s="40" t="s">
        <v>1272</v>
      </c>
      <c r="F123" s="40"/>
      <c r="G123" s="41" t="s">
        <v>1343</v>
      </c>
    </row>
    <row r="124" spans="1:7" ht="43.2" x14ac:dyDescent="0.3">
      <c r="A124" s="42" t="s">
        <v>77</v>
      </c>
      <c r="B124" s="40" t="str">
        <f>IFERROR(VLOOKUP(A124, Terméklista!I:J, 2, FALSE), "Várom a cikkszámot...")</f>
        <v>Cara (S/M)</v>
      </c>
      <c r="C124" s="44" t="s">
        <v>189</v>
      </c>
      <c r="D124" s="40" t="str">
        <f>IFERROR(VLOOKUP(C124, Terméklista!I:J, 2, FALSE), "Várom a cikkszámot...")</f>
        <v>Cara maszkpárna XL</v>
      </c>
      <c r="E124" s="40" t="s">
        <v>1272</v>
      </c>
      <c r="F124" s="40"/>
      <c r="G124" s="41" t="s">
        <v>1343</v>
      </c>
    </row>
    <row r="125" spans="1:7" ht="43.2" x14ac:dyDescent="0.3">
      <c r="A125" s="42" t="s">
        <v>77</v>
      </c>
      <c r="B125" s="40" t="str">
        <f>IFERROR(VLOOKUP(A125, Terméklista!I:J, 2, FALSE), "Várom a cikkszámot...")</f>
        <v>Cara (S/M)</v>
      </c>
      <c r="C125" s="44" t="s">
        <v>253</v>
      </c>
      <c r="D125" s="40" t="str">
        <f>IFERROR(VLOOKUP(C125, Terméklista!I:J, 2, FALSE), "Várom a cikkszámot...")</f>
        <v>Cara fejpánt</v>
      </c>
      <c r="E125" s="40" t="s">
        <v>1272</v>
      </c>
      <c r="F125" s="40"/>
      <c r="G125" s="41" t="s">
        <v>1343</v>
      </c>
    </row>
    <row r="126" spans="1:7" ht="43.2" x14ac:dyDescent="0.3">
      <c r="A126" s="42" t="s">
        <v>79</v>
      </c>
      <c r="B126" s="40" t="str">
        <f>IFERROR(VLOOKUP(A126, Terméklista!I:J, 2, FALSE), "Várom a cikkszámot...")</f>
        <v>Cara (M/L)</v>
      </c>
      <c r="C126" s="44" t="s">
        <v>186</v>
      </c>
      <c r="D126" s="40" t="str">
        <f>IFERROR(VLOOKUP(C126, Terméklista!I:J, 2, FALSE), "Várom a cikkszámot...")</f>
        <v>Cara maszkpárna XS</v>
      </c>
      <c r="E126" s="40" t="s">
        <v>1272</v>
      </c>
      <c r="F126" s="40" t="s">
        <v>1274</v>
      </c>
      <c r="G126" s="41" t="s">
        <v>1343</v>
      </c>
    </row>
    <row r="127" spans="1:7" ht="43.2" x14ac:dyDescent="0.3">
      <c r="A127" s="42" t="s">
        <v>79</v>
      </c>
      <c r="B127" s="40" t="str">
        <f>IFERROR(VLOOKUP(A127, Terméklista!I:J, 2, FALSE), "Várom a cikkszámot...")</f>
        <v>Cara (M/L)</v>
      </c>
      <c r="C127" s="44" t="s">
        <v>187</v>
      </c>
      <c r="D127" s="40" t="str">
        <f>IFERROR(VLOOKUP(C127, Terméklista!I:J, 2, FALSE), "Várom a cikkszámot...")</f>
        <v>Cara maszkpárna S/M</v>
      </c>
      <c r="E127" s="40" t="s">
        <v>1272</v>
      </c>
      <c r="F127" s="40"/>
      <c r="G127" s="41" t="s">
        <v>1343</v>
      </c>
    </row>
    <row r="128" spans="1:7" ht="43.2" x14ac:dyDescent="0.3">
      <c r="A128" s="42" t="s">
        <v>79</v>
      </c>
      <c r="B128" s="40" t="str">
        <f>IFERROR(VLOOKUP(A128, Terméklista!I:J, 2, FALSE), "Várom a cikkszámot...")</f>
        <v>Cara (M/L)</v>
      </c>
      <c r="C128" s="44" t="s">
        <v>188</v>
      </c>
      <c r="D128" s="40" t="str">
        <f>IFERROR(VLOOKUP(C128, Terméklista!I:J, 2, FALSE), "Várom a cikkszámot...")</f>
        <v>Cara maszkpárna M/L</v>
      </c>
      <c r="E128" s="40" t="s">
        <v>1272</v>
      </c>
      <c r="F128" s="40"/>
      <c r="G128" s="41" t="s">
        <v>1343</v>
      </c>
    </row>
    <row r="129" spans="1:7" ht="43.2" x14ac:dyDescent="0.3">
      <c r="A129" s="42" t="s">
        <v>79</v>
      </c>
      <c r="B129" s="40" t="str">
        <f>IFERROR(VLOOKUP(A129, Terméklista!I:J, 2, FALSE), "Várom a cikkszámot...")</f>
        <v>Cara (M/L)</v>
      </c>
      <c r="C129" s="44" t="s">
        <v>189</v>
      </c>
      <c r="D129" s="40" t="str">
        <f>IFERROR(VLOOKUP(C129, Terméklista!I:J, 2, FALSE), "Várom a cikkszámot...")</f>
        <v>Cara maszkpárna XL</v>
      </c>
      <c r="E129" s="40" t="s">
        <v>1272</v>
      </c>
      <c r="F129" s="40"/>
      <c r="G129" s="41" t="s">
        <v>1343</v>
      </c>
    </row>
    <row r="130" spans="1:7" ht="43.2" x14ac:dyDescent="0.3">
      <c r="A130" s="42" t="s">
        <v>79</v>
      </c>
      <c r="B130" s="40" t="str">
        <f>IFERROR(VLOOKUP(A130, Terméklista!I:J, 2, FALSE), "Várom a cikkszámot...")</f>
        <v>Cara (M/L)</v>
      </c>
      <c r="C130" s="44" t="s">
        <v>253</v>
      </c>
      <c r="D130" s="40" t="str">
        <f>IFERROR(VLOOKUP(C130, Terméklista!I:J, 2, FALSE), "Várom a cikkszámot...")</f>
        <v>Cara fejpánt</v>
      </c>
      <c r="E130" s="40" t="s">
        <v>1272</v>
      </c>
      <c r="F130" s="40"/>
      <c r="G130" s="41" t="s">
        <v>1343</v>
      </c>
    </row>
    <row r="131" spans="1:7" ht="43.2" x14ac:dyDescent="0.3">
      <c r="A131" s="42" t="s">
        <v>79</v>
      </c>
      <c r="B131" s="40" t="str">
        <f>IFERROR(VLOOKUP(A131, Terméklista!I:J, 2, FALSE), "Várom a cikkszámot...")</f>
        <v>Cara (M/L)</v>
      </c>
      <c r="C131" s="44" t="s">
        <v>253</v>
      </c>
      <c r="D131" s="40" t="str">
        <f>IFERROR(VLOOKUP(C131, Terméklista!I:J, 2, FALSE), "Várom a cikkszámot...")</f>
        <v>Cara fejpánt</v>
      </c>
      <c r="E131" s="40" t="s">
        <v>1272</v>
      </c>
      <c r="F131" s="40"/>
      <c r="G131" s="41" t="s">
        <v>1343</v>
      </c>
    </row>
    <row r="132" spans="1:7" ht="43.2" x14ac:dyDescent="0.3">
      <c r="A132" s="42" t="s">
        <v>1271</v>
      </c>
      <c r="B132" s="40" t="str">
        <f>IFERROR(VLOOKUP(A132, Terméklista!I:J, 2, FALSE), "Várom a cikkszámot...")</f>
        <v>Cara (XL)</v>
      </c>
      <c r="C132" s="44" t="s">
        <v>186</v>
      </c>
      <c r="D132" s="40" t="str">
        <f>IFERROR(VLOOKUP(C132, Terméklista!I:J, 2, FALSE), "Várom a cikkszámot...")</f>
        <v>Cara maszkpárna XS</v>
      </c>
      <c r="E132" s="40" t="s">
        <v>1272</v>
      </c>
      <c r="F132" s="40" t="s">
        <v>1274</v>
      </c>
      <c r="G132" s="41" t="s">
        <v>1343</v>
      </c>
    </row>
    <row r="133" spans="1:7" ht="43.2" x14ac:dyDescent="0.3">
      <c r="A133" s="42" t="s">
        <v>1271</v>
      </c>
      <c r="B133" s="40" t="str">
        <f>IFERROR(VLOOKUP(A133, Terméklista!I:J, 2, FALSE), "Várom a cikkszámot...")</f>
        <v>Cara (XL)</v>
      </c>
      <c r="C133" s="44" t="s">
        <v>187</v>
      </c>
      <c r="D133" s="40" t="str">
        <f>IFERROR(VLOOKUP(C133, Terméklista!I:J, 2, FALSE), "Várom a cikkszámot...")</f>
        <v>Cara maszkpárna S/M</v>
      </c>
      <c r="E133" s="40" t="s">
        <v>1272</v>
      </c>
      <c r="F133" s="40"/>
      <c r="G133" s="41" t="s">
        <v>1343</v>
      </c>
    </row>
    <row r="134" spans="1:7" ht="43.2" x14ac:dyDescent="0.3">
      <c r="A134" s="42" t="s">
        <v>1271</v>
      </c>
      <c r="B134" s="40" t="str">
        <f>IFERROR(VLOOKUP(A134, Terméklista!I:J, 2, FALSE), "Várom a cikkszámot...")</f>
        <v>Cara (XL)</v>
      </c>
      <c r="C134" s="44" t="s">
        <v>188</v>
      </c>
      <c r="D134" s="40" t="str">
        <f>IFERROR(VLOOKUP(C134, Terméklista!I:J, 2, FALSE), "Várom a cikkszámot...")</f>
        <v>Cara maszkpárna M/L</v>
      </c>
      <c r="E134" s="40" t="s">
        <v>1272</v>
      </c>
      <c r="F134" s="40"/>
      <c r="G134" s="41" t="s">
        <v>1343</v>
      </c>
    </row>
    <row r="135" spans="1:7" ht="43.2" x14ac:dyDescent="0.3">
      <c r="A135" s="42" t="s">
        <v>1271</v>
      </c>
      <c r="B135" s="40" t="str">
        <f>IFERROR(VLOOKUP(A135, Terméklista!I:J, 2, FALSE), "Várom a cikkszámot...")</f>
        <v>Cara (XL)</v>
      </c>
      <c r="C135" s="44" t="s">
        <v>189</v>
      </c>
      <c r="D135" s="40" t="str">
        <f>IFERROR(VLOOKUP(C135, Terméklista!I:J, 2, FALSE), "Várom a cikkszámot...")</f>
        <v>Cara maszkpárna XL</v>
      </c>
      <c r="E135" s="40" t="s">
        <v>1272</v>
      </c>
      <c r="F135" s="40"/>
      <c r="G135" s="41" t="s">
        <v>1343</v>
      </c>
    </row>
    <row r="136" spans="1:7" ht="43.2" x14ac:dyDescent="0.3">
      <c r="A136" s="42" t="s">
        <v>1271</v>
      </c>
      <c r="B136" s="40" t="str">
        <f>IFERROR(VLOOKUP(A136, Terméklista!I:J, 2, FALSE), "Várom a cikkszámot...")</f>
        <v>Cara (XL)</v>
      </c>
      <c r="C136" s="44" t="s">
        <v>253</v>
      </c>
      <c r="D136" s="40" t="str">
        <f>IFERROR(VLOOKUP(C136, Terméklista!I:J, 2, FALSE), "Várom a cikkszámot...")</f>
        <v>Cara fejpánt</v>
      </c>
      <c r="E136" s="40" t="s">
        <v>1272</v>
      </c>
      <c r="F136" s="40"/>
      <c r="G136" s="41" t="s">
        <v>1343</v>
      </c>
    </row>
    <row r="137" spans="1:7" ht="43.2" x14ac:dyDescent="0.3">
      <c r="A137" s="42" t="s">
        <v>83</v>
      </c>
      <c r="B137" s="40" t="str">
        <f>IFERROR(VLOOKUP(A137, Terméklista!I:J, 2, FALSE), "Várom a cikkszámot...")</f>
        <v>Joyce Easy (S)</v>
      </c>
      <c r="C137" s="44" t="s">
        <v>190</v>
      </c>
      <c r="D137" s="40" t="str">
        <f>IFERROR(VLOOKUP(C137, Terméklista!I:J, 2, FALSE), "Várom a cikkszámot...")</f>
        <v>JoyceEasy maszkpárna S</v>
      </c>
      <c r="E137" s="40" t="s">
        <v>1276</v>
      </c>
      <c r="F137" s="40" t="s">
        <v>1274</v>
      </c>
      <c r="G137" s="41" t="s">
        <v>1344</v>
      </c>
    </row>
    <row r="138" spans="1:7" ht="43.2" x14ac:dyDescent="0.3">
      <c r="A138" s="42" t="s">
        <v>83</v>
      </c>
      <c r="B138" s="40" t="str">
        <f>IFERROR(VLOOKUP(A138, Terméklista!I:J, 2, FALSE), "Várom a cikkszámot...")</f>
        <v>Joyce Easy (S)</v>
      </c>
      <c r="C138" s="44" t="s">
        <v>192</v>
      </c>
      <c r="D138" s="40" t="str">
        <f>IFERROR(VLOOKUP(C138, Terméklista!I:J, 2, FALSE), "Várom a cikkszámot...")</f>
        <v>JoyceEasy maszkpárna M</v>
      </c>
      <c r="E138" s="40" t="s">
        <v>1276</v>
      </c>
      <c r="F138" s="40"/>
      <c r="G138" s="41" t="s">
        <v>1344</v>
      </c>
    </row>
    <row r="139" spans="1:7" ht="43.2" x14ac:dyDescent="0.3">
      <c r="A139" s="42" t="s">
        <v>83</v>
      </c>
      <c r="B139" s="40" t="str">
        <f>IFERROR(VLOOKUP(A139, Terméklista!I:J, 2, FALSE), "Várom a cikkszámot...")</f>
        <v>Joyce Easy (S)</v>
      </c>
      <c r="C139" s="44" t="s">
        <v>194</v>
      </c>
      <c r="D139" s="40" t="str">
        <f>IFERROR(VLOOKUP(C139, Terméklista!I:J, 2, FALSE), "Várom a cikkszámot...")</f>
        <v>JoyceEasy maszkpárna L</v>
      </c>
      <c r="E139" s="40" t="s">
        <v>1276</v>
      </c>
      <c r="F139" s="40"/>
      <c r="G139" s="41" t="s">
        <v>1344</v>
      </c>
    </row>
    <row r="140" spans="1:7" ht="43.2" x14ac:dyDescent="0.3">
      <c r="A140" s="42" t="s">
        <v>83</v>
      </c>
      <c r="B140" s="40" t="str">
        <f>IFERROR(VLOOKUP(A140, Terméklista!I:J, 2, FALSE), "Várom a cikkszámot...")</f>
        <v>Joyce Easy (S)</v>
      </c>
      <c r="C140" s="44" t="s">
        <v>255</v>
      </c>
      <c r="D140" s="40" t="str">
        <f>IFERROR(VLOOKUP(C140, Terméklista!I:J, 2, FALSE), "Várom a cikkszámot...")</f>
        <v>JoyceEasy fejpánt</v>
      </c>
      <c r="E140" s="40" t="s">
        <v>1276</v>
      </c>
      <c r="F140" s="40"/>
      <c r="G140" s="41" t="s">
        <v>1344</v>
      </c>
    </row>
    <row r="141" spans="1:7" ht="43.2" x14ac:dyDescent="0.3">
      <c r="A141" s="42" t="s">
        <v>83</v>
      </c>
      <c r="B141" s="40" t="str">
        <f>IFERROR(VLOOKUP(A141, Terméklista!I:J, 2, FALSE), "Várom a cikkszámot...")</f>
        <v>Joyce Easy (S)</v>
      </c>
      <c r="C141" s="44" t="s">
        <v>200</v>
      </c>
      <c r="D141" s="40" t="str">
        <f>IFERROR(VLOOKUP(C141, Terméklista!I:J, 2, FALSE), "Várom a cikkszámot...")</f>
        <v>JoyceEasy/JoyceONE homloktámasz</v>
      </c>
      <c r="E141" s="40" t="s">
        <v>1276</v>
      </c>
      <c r="F141" s="40"/>
      <c r="G141" s="41" t="s">
        <v>1344</v>
      </c>
    </row>
    <row r="142" spans="1:7" ht="43.2" x14ac:dyDescent="0.3">
      <c r="A142" s="42" t="s">
        <v>85</v>
      </c>
      <c r="B142" s="40" t="str">
        <f>IFERROR(VLOOKUP(A142, Terméklista!I:J, 2, FALSE), "Várom a cikkszámot...")</f>
        <v>Joyce Easy (M)</v>
      </c>
      <c r="C142" s="44" t="s">
        <v>190</v>
      </c>
      <c r="D142" s="40" t="str">
        <f>IFERROR(VLOOKUP(C142, Terméklista!I:J, 2, FALSE), "Várom a cikkszámot...")</f>
        <v>JoyceEasy maszkpárna S</v>
      </c>
      <c r="E142" s="40" t="s">
        <v>1276</v>
      </c>
      <c r="F142" s="40" t="s">
        <v>1274</v>
      </c>
      <c r="G142" s="41" t="s">
        <v>1344</v>
      </c>
    </row>
    <row r="143" spans="1:7" ht="43.2" x14ac:dyDescent="0.3">
      <c r="A143" s="42" t="s">
        <v>85</v>
      </c>
      <c r="B143" s="40" t="str">
        <f>IFERROR(VLOOKUP(A143, Terméklista!I:J, 2, FALSE), "Várom a cikkszámot...")</f>
        <v>Joyce Easy (M)</v>
      </c>
      <c r="C143" s="44" t="s">
        <v>192</v>
      </c>
      <c r="D143" s="40" t="str">
        <f>IFERROR(VLOOKUP(C143, Terméklista!I:J, 2, FALSE), "Várom a cikkszámot...")</f>
        <v>JoyceEasy maszkpárna M</v>
      </c>
      <c r="E143" s="40" t="s">
        <v>1276</v>
      </c>
      <c r="F143" s="40"/>
      <c r="G143" s="41" t="s">
        <v>1344</v>
      </c>
    </row>
    <row r="144" spans="1:7" ht="43.2" x14ac:dyDescent="0.3">
      <c r="A144" s="42" t="s">
        <v>85</v>
      </c>
      <c r="B144" s="40" t="str">
        <f>IFERROR(VLOOKUP(A144, Terméklista!I:J, 2, FALSE), "Várom a cikkszámot...")</f>
        <v>Joyce Easy (M)</v>
      </c>
      <c r="C144" s="44" t="s">
        <v>194</v>
      </c>
      <c r="D144" s="40" t="str">
        <f>IFERROR(VLOOKUP(C144, Terméklista!I:J, 2, FALSE), "Várom a cikkszámot...")</f>
        <v>JoyceEasy maszkpárna L</v>
      </c>
      <c r="E144" s="40" t="s">
        <v>1276</v>
      </c>
      <c r="F144" s="40"/>
      <c r="G144" s="41" t="s">
        <v>1344</v>
      </c>
    </row>
    <row r="145" spans="1:7" ht="43.2" x14ac:dyDescent="0.3">
      <c r="A145" s="42" t="s">
        <v>85</v>
      </c>
      <c r="B145" s="40" t="str">
        <f>IFERROR(VLOOKUP(A145, Terméklista!I:J, 2, FALSE), "Várom a cikkszámot...")</f>
        <v>Joyce Easy (M)</v>
      </c>
      <c r="C145" s="44" t="s">
        <v>255</v>
      </c>
      <c r="D145" s="40" t="str">
        <f>IFERROR(VLOOKUP(C145, Terméklista!I:J, 2, FALSE), "Várom a cikkszámot...")</f>
        <v>JoyceEasy fejpánt</v>
      </c>
      <c r="E145" s="40" t="s">
        <v>1276</v>
      </c>
      <c r="F145" s="40"/>
      <c r="G145" s="41" t="s">
        <v>1344</v>
      </c>
    </row>
    <row r="146" spans="1:7" ht="43.2" x14ac:dyDescent="0.3">
      <c r="A146" s="42" t="s">
        <v>85</v>
      </c>
      <c r="B146" s="40" t="str">
        <f>IFERROR(VLOOKUP(A146, Terméklista!I:J, 2, FALSE), "Várom a cikkszámot...")</f>
        <v>Joyce Easy (M)</v>
      </c>
      <c r="C146" s="44" t="s">
        <v>200</v>
      </c>
      <c r="D146" s="40" t="str">
        <f>IFERROR(VLOOKUP(C146, Terméklista!I:J, 2, FALSE), "Várom a cikkszámot...")</f>
        <v>JoyceEasy/JoyceONE homloktámasz</v>
      </c>
      <c r="E146" s="40" t="s">
        <v>1276</v>
      </c>
      <c r="F146" s="40"/>
      <c r="G146" s="41" t="s">
        <v>1344</v>
      </c>
    </row>
    <row r="147" spans="1:7" ht="43.2" x14ac:dyDescent="0.3">
      <c r="A147" s="42" t="s">
        <v>87</v>
      </c>
      <c r="B147" s="40" t="str">
        <f>IFERROR(VLOOKUP(A147, Terméklista!I:J, 2, FALSE), "Várom a cikkszámot...")</f>
        <v>Joyce Easy (L)</v>
      </c>
      <c r="C147" s="44" t="s">
        <v>190</v>
      </c>
      <c r="D147" s="40" t="str">
        <f>IFERROR(VLOOKUP(C147, Terméklista!I:J, 2, FALSE), "Várom a cikkszámot...")</f>
        <v>JoyceEasy maszkpárna S</v>
      </c>
      <c r="E147" s="40" t="s">
        <v>1276</v>
      </c>
      <c r="F147" s="40" t="s">
        <v>1274</v>
      </c>
      <c r="G147" s="41" t="s">
        <v>1344</v>
      </c>
    </row>
    <row r="148" spans="1:7" ht="43.2" x14ac:dyDescent="0.3">
      <c r="A148" s="42" t="s">
        <v>87</v>
      </c>
      <c r="B148" s="40" t="str">
        <f>IFERROR(VLOOKUP(A148, Terméklista!I:J, 2, FALSE), "Várom a cikkszámot...")</f>
        <v>Joyce Easy (L)</v>
      </c>
      <c r="C148" s="44" t="s">
        <v>192</v>
      </c>
      <c r="D148" s="40" t="str">
        <f>IFERROR(VLOOKUP(C148, Terméklista!I:J, 2, FALSE), "Várom a cikkszámot...")</f>
        <v>JoyceEasy maszkpárna M</v>
      </c>
      <c r="E148" s="40" t="s">
        <v>1276</v>
      </c>
      <c r="F148" s="40"/>
      <c r="G148" s="41" t="s">
        <v>1344</v>
      </c>
    </row>
    <row r="149" spans="1:7" ht="43.2" x14ac:dyDescent="0.3">
      <c r="A149" s="42" t="s">
        <v>87</v>
      </c>
      <c r="B149" s="40" t="str">
        <f>IFERROR(VLOOKUP(A149, Terméklista!I:J, 2, FALSE), "Várom a cikkszámot...")</f>
        <v>Joyce Easy (L)</v>
      </c>
      <c r="C149" s="44" t="s">
        <v>194</v>
      </c>
      <c r="D149" s="40" t="str">
        <f>IFERROR(VLOOKUP(C149, Terméklista!I:J, 2, FALSE), "Várom a cikkszámot...")</f>
        <v>JoyceEasy maszkpárna L</v>
      </c>
      <c r="E149" s="40" t="s">
        <v>1276</v>
      </c>
      <c r="F149" s="40"/>
      <c r="G149" s="41" t="s">
        <v>1344</v>
      </c>
    </row>
    <row r="150" spans="1:7" ht="43.2" x14ac:dyDescent="0.3">
      <c r="A150" s="42" t="s">
        <v>87</v>
      </c>
      <c r="B150" s="40" t="str">
        <f>IFERROR(VLOOKUP(A150, Terméklista!I:J, 2, FALSE), "Várom a cikkszámot...")</f>
        <v>Joyce Easy (L)</v>
      </c>
      <c r="C150" s="44" t="s">
        <v>255</v>
      </c>
      <c r="D150" s="40" t="str">
        <f>IFERROR(VLOOKUP(C150, Terméklista!I:J, 2, FALSE), "Várom a cikkszámot...")</f>
        <v>JoyceEasy fejpánt</v>
      </c>
      <c r="E150" s="40" t="s">
        <v>1276</v>
      </c>
      <c r="F150" s="40"/>
      <c r="G150" s="41" t="s">
        <v>1344</v>
      </c>
    </row>
    <row r="151" spans="1:7" ht="43.2" x14ac:dyDescent="0.3">
      <c r="A151" s="42" t="s">
        <v>87</v>
      </c>
      <c r="B151" s="40" t="str">
        <f>IFERROR(VLOOKUP(A151, Terméklista!I:J, 2, FALSE), "Várom a cikkszámot...")</f>
        <v>Joyce Easy (L)</v>
      </c>
      <c r="C151" s="44" t="s">
        <v>200</v>
      </c>
      <c r="D151" s="40" t="str">
        <f>IFERROR(VLOOKUP(C151, Terméklista!I:J, 2, FALSE), "Várom a cikkszámot...")</f>
        <v>JoyceEasy/JoyceONE homloktámasz</v>
      </c>
      <c r="E151" s="40" t="s">
        <v>1276</v>
      </c>
      <c r="F151" s="40"/>
      <c r="G151" s="41" t="s">
        <v>1344</v>
      </c>
    </row>
    <row r="152" spans="1:7" ht="28.8" x14ac:dyDescent="0.3">
      <c r="A152" s="42" t="s">
        <v>89</v>
      </c>
      <c r="B152" s="40" t="str">
        <f>IFERROR(VLOOKUP(A152, Terméklista!I:J, 2, FALSE), "Várom a cikkszámot...")</f>
        <v>Joyce One (1 méretes)</v>
      </c>
      <c r="C152" s="44" t="s">
        <v>201</v>
      </c>
      <c r="D152" s="40" t="str">
        <f>IFERROR(VLOOKUP(C152, Terméklista!I:J, 2, FALSE), "Várom a cikkszámot...")</f>
        <v>JoyceOne maszkpárna</v>
      </c>
      <c r="E152" s="40" t="s">
        <v>1277</v>
      </c>
      <c r="F152" s="40" t="s">
        <v>555</v>
      </c>
      <c r="G152" s="41" t="s">
        <v>1345</v>
      </c>
    </row>
    <row r="153" spans="1:7" ht="28.8" x14ac:dyDescent="0.3">
      <c r="A153" s="42" t="s">
        <v>89</v>
      </c>
      <c r="B153" s="40" t="str">
        <f>IFERROR(VLOOKUP(A153, Terméklista!I:J, 2, FALSE), "Várom a cikkszámot...")</f>
        <v>Joyce One (1 méretes)</v>
      </c>
      <c r="C153" s="44" t="s">
        <v>257</v>
      </c>
      <c r="D153" s="40" t="str">
        <f>IFERROR(VLOOKUP(C153, Terméklista!I:J, 2, FALSE), "Várom a cikkszámot...")</f>
        <v>JoyceOne fejpánt</v>
      </c>
      <c r="E153" s="40" t="s">
        <v>1277</v>
      </c>
      <c r="F153" s="40"/>
      <c r="G153" s="41" t="s">
        <v>1345</v>
      </c>
    </row>
    <row r="154" spans="1:7" ht="28.8" x14ac:dyDescent="0.3">
      <c r="A154" s="42" t="s">
        <v>89</v>
      </c>
      <c r="B154" s="40" t="str">
        <f>IFERROR(VLOOKUP(A154, Terméklista!I:J, 2, FALSE), "Várom a cikkszámot...")</f>
        <v>Joyce One (1 méretes)</v>
      </c>
      <c r="C154" s="44" t="s">
        <v>200</v>
      </c>
      <c r="D154" s="40" t="str">
        <f>IFERROR(VLOOKUP(C154, Terméklista!I:J, 2, FALSE), "Várom a cikkszámot...")</f>
        <v>JoyceEasy/JoyceONE homloktámasz</v>
      </c>
      <c r="E154" s="40" t="s">
        <v>1277</v>
      </c>
      <c r="F154" s="40"/>
      <c r="G154" s="41" t="s">
        <v>1345</v>
      </c>
    </row>
    <row r="155" spans="1:7" ht="43.2" x14ac:dyDescent="0.3">
      <c r="A155" s="42" t="s">
        <v>111</v>
      </c>
      <c r="B155" s="40" t="str">
        <f>IFERROR(VLOOKUP(A155, Terméklista!I:J, 2, FALSE), "Várom a cikkszámot...")</f>
        <v>Julia (S)</v>
      </c>
      <c r="C155" s="44" t="s">
        <v>1278</v>
      </c>
      <c r="D155" s="40" t="str">
        <f>IFERROR(VLOOKUP(C155, Terméklista!I:J, 2, FALSE), "Várom a cikkszámot...")</f>
        <v>Julia maszkpárna S</v>
      </c>
      <c r="E155" s="40" t="s">
        <v>1284</v>
      </c>
      <c r="F155" s="40" t="s">
        <v>1274</v>
      </c>
      <c r="G155" s="41" t="s">
        <v>1346</v>
      </c>
    </row>
    <row r="156" spans="1:7" ht="43.2" x14ac:dyDescent="0.3">
      <c r="A156" s="42" t="s">
        <v>111</v>
      </c>
      <c r="B156" s="40" t="str">
        <f>IFERROR(VLOOKUP(A156, Terméklista!I:J, 2, FALSE), "Várom a cikkszámot...")</f>
        <v>Julia (S)</v>
      </c>
      <c r="C156" s="44" t="s">
        <v>1279</v>
      </c>
      <c r="D156" s="40" t="str">
        <f>IFERROR(VLOOKUP(C156, Terméklista!I:J, 2, FALSE), "Várom a cikkszámot...")</f>
        <v>Julia maszkpárna M</v>
      </c>
      <c r="E156" s="40" t="s">
        <v>1284</v>
      </c>
      <c r="F156" s="40"/>
      <c r="G156" s="41" t="s">
        <v>1346</v>
      </c>
    </row>
    <row r="157" spans="1:7" ht="43.2" x14ac:dyDescent="0.3">
      <c r="A157" s="42" t="s">
        <v>111</v>
      </c>
      <c r="B157" s="40" t="str">
        <f>IFERROR(VLOOKUP(A157, Terméklista!I:J, 2, FALSE), "Várom a cikkszámot...")</f>
        <v>Julia (S)</v>
      </c>
      <c r="C157" s="44" t="s">
        <v>1280</v>
      </c>
      <c r="D157" s="40" t="str">
        <f>IFERROR(VLOOKUP(C157, Terméklista!I:J, 2, FALSE), "Várom a cikkszámot...")</f>
        <v>Julia maszkpárna L</v>
      </c>
      <c r="E157" s="40" t="s">
        <v>1284</v>
      </c>
      <c r="F157" s="40"/>
      <c r="G157" s="41" t="s">
        <v>1346</v>
      </c>
    </row>
    <row r="158" spans="1:7" ht="43.2" x14ac:dyDescent="0.3">
      <c r="A158" s="42" t="s">
        <v>111</v>
      </c>
      <c r="B158" s="40" t="str">
        <f>IFERROR(VLOOKUP(A158, Terméklista!I:J, 2, FALSE), "Várom a cikkszámot...")</f>
        <v>Julia (S)</v>
      </c>
      <c r="C158" s="44" t="s">
        <v>1026</v>
      </c>
      <c r="D158" s="40" t="str">
        <f>IFERROR(VLOOKUP(C158, Terméklista!I:J, 2, FALSE), "Várom a cikkszámot...")</f>
        <v>Julia fejpánt small</v>
      </c>
      <c r="E158" s="40" t="s">
        <v>1284</v>
      </c>
      <c r="F158" s="40"/>
      <c r="G158" s="41" t="s">
        <v>1346</v>
      </c>
    </row>
    <row r="159" spans="1:7" ht="43.2" x14ac:dyDescent="0.3">
      <c r="A159" s="42" t="s">
        <v>111</v>
      </c>
      <c r="B159" s="40" t="str">
        <f>IFERROR(VLOOKUP(A159, Terméklista!I:J, 2, FALSE), "Várom a cikkszámot...")</f>
        <v>Julia (S)</v>
      </c>
      <c r="C159" s="44" t="s">
        <v>1025</v>
      </c>
      <c r="D159" s="40" t="str">
        <f>IFERROR(VLOOKUP(C159, Terméklista!I:J, 2, FALSE), "Várom a cikkszámot...")</f>
        <v>Julia fejpánt standard</v>
      </c>
      <c r="E159" s="40" t="s">
        <v>1284</v>
      </c>
      <c r="F159" s="40"/>
      <c r="G159" s="41" t="s">
        <v>1346</v>
      </c>
    </row>
    <row r="160" spans="1:7" ht="43.2" x14ac:dyDescent="0.3">
      <c r="A160" s="42" t="s">
        <v>111</v>
      </c>
      <c r="B160" s="40" t="str">
        <f>IFERROR(VLOOKUP(A160, Terméklista!I:J, 2, FALSE), "Várom a cikkszámot...")</f>
        <v>Julia (S)</v>
      </c>
      <c r="C160" s="44" t="s">
        <v>1281</v>
      </c>
      <c r="D160" s="40" t="str">
        <f>IFERROR(VLOOKUP(C160, Terméklista!I:J, 2, FALSE), "Várom a cikkszámot...")</f>
        <v>Julia vázborítás</v>
      </c>
      <c r="E160" s="40" t="s">
        <v>1284</v>
      </c>
      <c r="F160" s="40"/>
      <c r="G160" s="41" t="s">
        <v>1346</v>
      </c>
    </row>
    <row r="161" spans="1:7" ht="43.2" x14ac:dyDescent="0.3">
      <c r="A161" s="42" t="s">
        <v>111</v>
      </c>
      <c r="B161" s="40" t="str">
        <f>IFERROR(VLOOKUP(A161, Terméklista!I:J, 2, FALSE), "Várom a cikkszámot...")</f>
        <v>Julia (S)</v>
      </c>
      <c r="C161" s="44" t="s">
        <v>1046</v>
      </c>
      <c r="D161" s="40" t="str">
        <f>IFERROR(VLOOKUP(C161, Terméklista!I:J, 2, FALSE), "Várom a cikkszámot...")</f>
        <v>Julia maszkcső</v>
      </c>
      <c r="E161" s="40" t="s">
        <v>1284</v>
      </c>
      <c r="F161" s="40"/>
      <c r="G161" s="41" t="s">
        <v>1346</v>
      </c>
    </row>
    <row r="162" spans="1:7" ht="43.2" x14ac:dyDescent="0.3">
      <c r="A162" s="42" t="s">
        <v>114</v>
      </c>
      <c r="B162" s="40" t="str">
        <f>IFERROR(VLOOKUP(A162, Terméklista!I:J, 2, FALSE), "Várom a cikkszámot...")</f>
        <v>Julia (M)</v>
      </c>
      <c r="C162" s="44" t="s">
        <v>1278</v>
      </c>
      <c r="D162" s="40" t="str">
        <f>IFERROR(VLOOKUP(C162, Terméklista!I:J, 2, FALSE), "Várom a cikkszámot...")</f>
        <v>Julia maszkpárna S</v>
      </c>
      <c r="E162" s="40" t="s">
        <v>1284</v>
      </c>
      <c r="F162" s="40" t="s">
        <v>1274</v>
      </c>
      <c r="G162" s="41" t="s">
        <v>1346</v>
      </c>
    </row>
    <row r="163" spans="1:7" ht="43.2" x14ac:dyDescent="0.3">
      <c r="A163" s="42" t="s">
        <v>114</v>
      </c>
      <c r="B163" s="40" t="str">
        <f>IFERROR(VLOOKUP(A163, Terméklista!I:J, 2, FALSE), "Várom a cikkszámot...")</f>
        <v>Julia (M)</v>
      </c>
      <c r="C163" s="44" t="s">
        <v>1279</v>
      </c>
      <c r="D163" s="40" t="str">
        <f>IFERROR(VLOOKUP(C163, Terméklista!I:J, 2, FALSE), "Várom a cikkszámot...")</f>
        <v>Julia maszkpárna M</v>
      </c>
      <c r="E163" s="40" t="s">
        <v>1284</v>
      </c>
      <c r="F163" s="40"/>
      <c r="G163" s="41" t="s">
        <v>1346</v>
      </c>
    </row>
    <row r="164" spans="1:7" ht="43.2" x14ac:dyDescent="0.3">
      <c r="A164" s="42" t="s">
        <v>114</v>
      </c>
      <c r="B164" s="40" t="str">
        <f>IFERROR(VLOOKUP(A164, Terméklista!I:J, 2, FALSE), "Várom a cikkszámot...")</f>
        <v>Julia (M)</v>
      </c>
      <c r="C164" s="44" t="s">
        <v>1280</v>
      </c>
      <c r="D164" s="40" t="str">
        <f>IFERROR(VLOOKUP(C164, Terméklista!I:J, 2, FALSE), "Várom a cikkszámot...")</f>
        <v>Julia maszkpárna L</v>
      </c>
      <c r="E164" s="40" t="s">
        <v>1284</v>
      </c>
      <c r="F164" s="40"/>
      <c r="G164" s="41" t="s">
        <v>1346</v>
      </c>
    </row>
    <row r="165" spans="1:7" ht="43.2" x14ac:dyDescent="0.3">
      <c r="A165" s="42" t="s">
        <v>114</v>
      </c>
      <c r="B165" s="40" t="str">
        <f>IFERROR(VLOOKUP(A165, Terméklista!I:J, 2, FALSE), "Várom a cikkszámot...")</f>
        <v>Julia (M)</v>
      </c>
      <c r="C165" s="44" t="s">
        <v>1026</v>
      </c>
      <c r="D165" s="40" t="str">
        <f>IFERROR(VLOOKUP(C165, Terméklista!I:J, 2, FALSE), "Várom a cikkszámot...")</f>
        <v>Julia fejpánt small</v>
      </c>
      <c r="E165" s="40" t="s">
        <v>1284</v>
      </c>
      <c r="F165" s="40"/>
      <c r="G165" s="41" t="s">
        <v>1346</v>
      </c>
    </row>
    <row r="166" spans="1:7" ht="43.2" x14ac:dyDescent="0.3">
      <c r="A166" s="42" t="s">
        <v>114</v>
      </c>
      <c r="B166" s="40" t="str">
        <f>IFERROR(VLOOKUP(A166, Terméklista!I:J, 2, FALSE), "Várom a cikkszámot...")</f>
        <v>Julia (M)</v>
      </c>
      <c r="C166" s="44" t="s">
        <v>1025</v>
      </c>
      <c r="D166" s="40" t="str">
        <f>IFERROR(VLOOKUP(C166, Terméklista!I:J, 2, FALSE), "Várom a cikkszámot...")</f>
        <v>Julia fejpánt standard</v>
      </c>
      <c r="E166" s="40" t="s">
        <v>1284</v>
      </c>
      <c r="F166" s="40"/>
      <c r="G166" s="41" t="s">
        <v>1346</v>
      </c>
    </row>
    <row r="167" spans="1:7" ht="43.2" x14ac:dyDescent="0.3">
      <c r="A167" s="42" t="s">
        <v>114</v>
      </c>
      <c r="B167" s="40" t="str">
        <f>IFERROR(VLOOKUP(A167, Terméklista!I:J, 2, FALSE), "Várom a cikkszámot...")</f>
        <v>Julia (M)</v>
      </c>
      <c r="C167" s="44" t="s">
        <v>1281</v>
      </c>
      <c r="D167" s="40" t="str">
        <f>IFERROR(VLOOKUP(C167, Terméklista!I:J, 2, FALSE), "Várom a cikkszámot...")</f>
        <v>Julia vázborítás</v>
      </c>
      <c r="E167" s="40" t="s">
        <v>1284</v>
      </c>
      <c r="F167" s="40"/>
      <c r="G167" s="41" t="s">
        <v>1346</v>
      </c>
    </row>
    <row r="168" spans="1:7" ht="43.2" x14ac:dyDescent="0.3">
      <c r="A168" s="42" t="s">
        <v>114</v>
      </c>
      <c r="B168" s="40" t="str">
        <f>IFERROR(VLOOKUP(A168, Terméklista!I:J, 2, FALSE), "Várom a cikkszámot...")</f>
        <v>Julia (M)</v>
      </c>
      <c r="C168" s="44" t="s">
        <v>1046</v>
      </c>
      <c r="D168" s="40" t="str">
        <f>IFERROR(VLOOKUP(C168, Terméklista!I:J, 2, FALSE), "Várom a cikkszámot...")</f>
        <v>Julia maszkcső</v>
      </c>
      <c r="E168" s="40" t="s">
        <v>1284</v>
      </c>
      <c r="F168" s="40"/>
      <c r="G168" s="41" t="s">
        <v>1346</v>
      </c>
    </row>
    <row r="169" spans="1:7" ht="43.2" x14ac:dyDescent="0.3">
      <c r="A169" s="42" t="s">
        <v>116</v>
      </c>
      <c r="B169" s="40" t="str">
        <f>IFERROR(VLOOKUP(A169, Terméklista!I:J, 2, FALSE), "Várom a cikkszámot...")</f>
        <v>Julia (L)</v>
      </c>
      <c r="C169" s="44" t="s">
        <v>1278</v>
      </c>
      <c r="D169" s="40" t="str">
        <f>IFERROR(VLOOKUP(C169, Terméklista!I:J, 2, FALSE), "Várom a cikkszámot...")</f>
        <v>Julia maszkpárna S</v>
      </c>
      <c r="E169" s="40" t="s">
        <v>1284</v>
      </c>
      <c r="F169" s="40" t="s">
        <v>1274</v>
      </c>
      <c r="G169" s="41" t="s">
        <v>1346</v>
      </c>
    </row>
    <row r="170" spans="1:7" ht="43.2" x14ac:dyDescent="0.3">
      <c r="A170" s="42" t="s">
        <v>116</v>
      </c>
      <c r="B170" s="40" t="str">
        <f>IFERROR(VLOOKUP(A170, Terméklista!I:J, 2, FALSE), "Várom a cikkszámot...")</f>
        <v>Julia (L)</v>
      </c>
      <c r="C170" s="44" t="s">
        <v>1279</v>
      </c>
      <c r="D170" s="40" t="str">
        <f>IFERROR(VLOOKUP(C170, Terméklista!I:J, 2, FALSE), "Várom a cikkszámot...")</f>
        <v>Julia maszkpárna M</v>
      </c>
      <c r="E170" s="40" t="s">
        <v>1284</v>
      </c>
      <c r="F170" s="40"/>
      <c r="G170" s="41" t="s">
        <v>1346</v>
      </c>
    </row>
    <row r="171" spans="1:7" ht="43.2" x14ac:dyDescent="0.3">
      <c r="A171" s="42" t="s">
        <v>116</v>
      </c>
      <c r="B171" s="40" t="str">
        <f>IFERROR(VLOOKUP(A171, Terméklista!I:J, 2, FALSE), "Várom a cikkszámot...")</f>
        <v>Julia (L)</v>
      </c>
      <c r="C171" s="44" t="s">
        <v>1280</v>
      </c>
      <c r="D171" s="40" t="str">
        <f>IFERROR(VLOOKUP(C171, Terméklista!I:J, 2, FALSE), "Várom a cikkszámot...")</f>
        <v>Julia maszkpárna L</v>
      </c>
      <c r="E171" s="40" t="s">
        <v>1284</v>
      </c>
      <c r="F171" s="40"/>
      <c r="G171" s="41" t="s">
        <v>1346</v>
      </c>
    </row>
    <row r="172" spans="1:7" ht="43.2" x14ac:dyDescent="0.3">
      <c r="A172" s="42" t="s">
        <v>116</v>
      </c>
      <c r="B172" s="40" t="str">
        <f>IFERROR(VLOOKUP(A172, Terméklista!I:J, 2, FALSE), "Várom a cikkszámot...")</f>
        <v>Julia (L)</v>
      </c>
      <c r="C172" s="44" t="s">
        <v>1026</v>
      </c>
      <c r="D172" s="40" t="str">
        <f>IFERROR(VLOOKUP(C172, Terméklista!I:J, 2, FALSE), "Várom a cikkszámot...")</f>
        <v>Julia fejpánt small</v>
      </c>
      <c r="E172" s="40" t="s">
        <v>1284</v>
      </c>
      <c r="F172" s="40"/>
      <c r="G172" s="41" t="s">
        <v>1346</v>
      </c>
    </row>
    <row r="173" spans="1:7" ht="43.2" x14ac:dyDescent="0.3">
      <c r="A173" s="42" t="s">
        <v>116</v>
      </c>
      <c r="B173" s="40" t="str">
        <f>IFERROR(VLOOKUP(A173, Terméklista!I:J, 2, FALSE), "Várom a cikkszámot...")</f>
        <v>Julia (L)</v>
      </c>
      <c r="C173" s="44" t="s">
        <v>1025</v>
      </c>
      <c r="D173" s="40" t="str">
        <f>IFERROR(VLOOKUP(C173, Terméklista!I:J, 2, FALSE), "Várom a cikkszámot...")</f>
        <v>Julia fejpánt standard</v>
      </c>
      <c r="E173" s="40" t="s">
        <v>1284</v>
      </c>
      <c r="F173" s="40"/>
      <c r="G173" s="41" t="s">
        <v>1346</v>
      </c>
    </row>
    <row r="174" spans="1:7" ht="43.2" x14ac:dyDescent="0.3">
      <c r="A174" s="42" t="s">
        <v>116</v>
      </c>
      <c r="B174" s="40" t="str">
        <f>IFERROR(VLOOKUP(A174, Terméklista!I:J, 2, FALSE), "Várom a cikkszámot...")</f>
        <v>Julia (L)</v>
      </c>
      <c r="C174" s="44" t="s">
        <v>1281</v>
      </c>
      <c r="D174" s="40" t="str">
        <f>IFERROR(VLOOKUP(C174, Terméklista!I:J, 2, FALSE), "Várom a cikkszámot...")</f>
        <v>Julia vázborítás</v>
      </c>
      <c r="E174" s="40" t="s">
        <v>1284</v>
      </c>
      <c r="F174" s="40"/>
      <c r="G174" s="41" t="s">
        <v>1346</v>
      </c>
    </row>
    <row r="175" spans="1:7" ht="43.2" x14ac:dyDescent="0.3">
      <c r="A175" s="42" t="s">
        <v>116</v>
      </c>
      <c r="B175" s="40" t="str">
        <f>IFERROR(VLOOKUP(A175, Terméklista!I:J, 2, FALSE), "Várom a cikkszámot...")</f>
        <v>Julia (L)</v>
      </c>
      <c r="C175" s="44" t="s">
        <v>1046</v>
      </c>
      <c r="D175" s="40" t="str">
        <f>IFERROR(VLOOKUP(C175, Terméklista!I:J, 2, FALSE), "Várom a cikkszámot...")</f>
        <v>Julia maszkcső</v>
      </c>
      <c r="E175" s="40" t="s">
        <v>1284</v>
      </c>
      <c r="F175" s="40"/>
      <c r="G175" s="41" t="s">
        <v>1346</v>
      </c>
    </row>
    <row r="176" spans="1:7" ht="57.6" x14ac:dyDescent="0.3">
      <c r="A176" s="44">
        <v>1116720</v>
      </c>
      <c r="B176" s="40" t="str">
        <f>IFERROR(VLOOKUP(A176, Terméklista!I:J, 2, FALSE), "Várom a cikkszámot...")</f>
        <v>DreamWear (4 méret 1 csomagban)</v>
      </c>
      <c r="C176" s="44">
        <v>1116740</v>
      </c>
      <c r="D176" s="40" t="str">
        <f>IFERROR(VLOOKUP(C176, Terméklista!I:J, 2, FALSE), "Várom a cikkszámot...")</f>
        <v>DreamWear orr alatti (Nasal) maszkpárna S</v>
      </c>
      <c r="E176" s="40" t="s">
        <v>1260</v>
      </c>
      <c r="F176" s="40" t="s">
        <v>1275</v>
      </c>
      <c r="G176" s="41" t="s">
        <v>1347</v>
      </c>
    </row>
    <row r="177" spans="1:7" ht="57.6" x14ac:dyDescent="0.3">
      <c r="A177" s="44">
        <v>1116720</v>
      </c>
      <c r="B177" s="40" t="str">
        <f>IFERROR(VLOOKUP(A177, Terméklista!I:J, 2, FALSE), "Várom a cikkszámot...")</f>
        <v>DreamWear (4 méret 1 csomagban)</v>
      </c>
      <c r="C177" s="44">
        <v>1116741</v>
      </c>
      <c r="D177" s="40" t="str">
        <f>IFERROR(VLOOKUP(C177, Terméklista!I:J, 2, FALSE), "Várom a cikkszámot...")</f>
        <v>DreamWear orr alatti (Nasal) maszkpárna M</v>
      </c>
      <c r="E177" s="40" t="s">
        <v>1260</v>
      </c>
      <c r="F177" s="40"/>
      <c r="G177" s="41" t="s">
        <v>1347</v>
      </c>
    </row>
    <row r="178" spans="1:7" ht="57.6" x14ac:dyDescent="0.3">
      <c r="A178" s="44">
        <v>1116720</v>
      </c>
      <c r="B178" s="40" t="str">
        <f>IFERROR(VLOOKUP(A178, Terméklista!I:J, 2, FALSE), "Várom a cikkszámot...")</f>
        <v>DreamWear (4 méret 1 csomagban)</v>
      </c>
      <c r="C178" s="44">
        <v>1116742</v>
      </c>
      <c r="D178" s="40" t="str">
        <f>IFERROR(VLOOKUP(C178, Terméklista!I:J, 2, FALSE), "Várom a cikkszámot...")</f>
        <v>DreamWear orr alatti (Nasal) maszkpárna L</v>
      </c>
      <c r="E178" s="40" t="s">
        <v>1260</v>
      </c>
      <c r="F178" s="40"/>
      <c r="G178" s="41" t="s">
        <v>1347</v>
      </c>
    </row>
    <row r="179" spans="1:7" ht="57.6" x14ac:dyDescent="0.3">
      <c r="A179" s="44">
        <v>1116720</v>
      </c>
      <c r="B179" s="40" t="str">
        <f>IFERROR(VLOOKUP(A179, Terméklista!I:J, 2, FALSE), "Várom a cikkszámot...")</f>
        <v>DreamWear (4 méret 1 csomagban)</v>
      </c>
      <c r="C179" s="44">
        <v>1116743</v>
      </c>
      <c r="D179" s="40" t="str">
        <f>IFERROR(VLOOKUP(C179, Terméklista!I:J, 2, FALSE), "Várom a cikkszámot...")</f>
        <v>DreamWear orr alatti (Nasal) maszkpárna MW</v>
      </c>
      <c r="E179" s="40" t="s">
        <v>1260</v>
      </c>
      <c r="F179" s="40"/>
      <c r="G179" s="41" t="s">
        <v>1347</v>
      </c>
    </row>
    <row r="180" spans="1:7" ht="57.6" x14ac:dyDescent="0.3">
      <c r="A180" s="44">
        <v>1116720</v>
      </c>
      <c r="B180" s="40" t="str">
        <f>IFERROR(VLOOKUP(A180, Terméklista!I:J, 2, FALSE), "Várom a cikkszámot...")</f>
        <v>DreamWear (4 méret 1 csomagban)</v>
      </c>
      <c r="C180" s="44">
        <v>1146472</v>
      </c>
      <c r="D180" s="40" t="str">
        <f>IFERROR(VLOOKUP(C180, Terméklista!I:J, 2, FALSE), "Várom a cikkszámot...")</f>
        <v>Dreamwear orrillesztékes (Silicone Pillows) maszkpárna S</v>
      </c>
      <c r="E180" s="40" t="s">
        <v>1260</v>
      </c>
      <c r="F180" s="40"/>
      <c r="G180" s="41" t="s">
        <v>1347</v>
      </c>
    </row>
    <row r="181" spans="1:7" ht="57.6" x14ac:dyDescent="0.3">
      <c r="A181" s="44">
        <v>1116720</v>
      </c>
      <c r="B181" s="40" t="str">
        <f>IFERROR(VLOOKUP(A181, Terméklista!I:J, 2, FALSE), "Várom a cikkszámot...")</f>
        <v>DreamWear (4 méret 1 csomagban)</v>
      </c>
      <c r="C181" s="44">
        <v>1146473</v>
      </c>
      <c r="D181" s="40" t="str">
        <f>IFERROR(VLOOKUP(C181, Terméklista!I:J, 2, FALSE), "Várom a cikkszámot...")</f>
        <v>Dreamwear orrillesztékes (Silicone Pillows) maszkpárna M</v>
      </c>
      <c r="E181" s="40" t="s">
        <v>1260</v>
      </c>
      <c r="F181" s="40"/>
      <c r="G181" s="41" t="s">
        <v>1347</v>
      </c>
    </row>
    <row r="182" spans="1:7" ht="57.6" x14ac:dyDescent="0.3">
      <c r="A182" s="44">
        <v>1116720</v>
      </c>
      <c r="B182" s="40" t="str">
        <f>IFERROR(VLOOKUP(A182, Terméklista!I:J, 2, FALSE), "Várom a cikkszámot...")</f>
        <v>DreamWear (4 méret 1 csomagban)</v>
      </c>
      <c r="C182" s="44">
        <v>1146474</v>
      </c>
      <c r="D182" s="40" t="str">
        <f>IFERROR(VLOOKUP(C182, Terméklista!I:J, 2, FALSE), "Várom a cikkszámot...")</f>
        <v xml:space="preserve">Dreamwear orrillesztékes (Silicone Pillows) maszkpárna L </v>
      </c>
      <c r="E182" s="40" t="s">
        <v>1260</v>
      </c>
      <c r="F182" s="40"/>
      <c r="G182" s="41" t="s">
        <v>1347</v>
      </c>
    </row>
    <row r="183" spans="1:7" ht="57.6" x14ac:dyDescent="0.3">
      <c r="A183" s="44">
        <v>1116720</v>
      </c>
      <c r="B183" s="40" t="str">
        <f>IFERROR(VLOOKUP(A183, Terméklista!I:J, 2, FALSE), "Várom a cikkszámot...")</f>
        <v>DreamWear (4 méret 1 csomagban)</v>
      </c>
      <c r="C183" s="44">
        <v>1116751</v>
      </c>
      <c r="D183" s="40" t="str">
        <f>IFERROR(VLOOKUP(C183, Terméklista!I:J, 2, FALSE), "Várom a cikkszámot...")</f>
        <v>DreamWear fejpánt új</v>
      </c>
      <c r="E183" s="40" t="s">
        <v>1260</v>
      </c>
      <c r="F183" s="40"/>
      <c r="G183" s="41" t="s">
        <v>1347</v>
      </c>
    </row>
    <row r="184" spans="1:7" ht="57.6" x14ac:dyDescent="0.3">
      <c r="A184" s="44">
        <v>1116720</v>
      </c>
      <c r="B184" s="40" t="str">
        <f>IFERROR(VLOOKUP(A184, Terméklista!I:J, 2, FALSE), "Várom a cikkszámot...")</f>
        <v>DreamWear (4 méret 1 csomagban)</v>
      </c>
      <c r="C184" s="44">
        <v>1116745</v>
      </c>
      <c r="D184" s="40" t="str">
        <f>IFERROR(VLOOKUP(C184, Terméklista!I:J, 2, FALSE), "Várom a cikkszámot...")</f>
        <v>DreamWear szilikon váz S/M</v>
      </c>
      <c r="E184" s="40" t="s">
        <v>1260</v>
      </c>
      <c r="F184" s="40"/>
      <c r="G184" s="41" t="s">
        <v>1347</v>
      </c>
    </row>
    <row r="185" spans="1:7" ht="57.6" x14ac:dyDescent="0.3">
      <c r="A185" s="44">
        <v>1116720</v>
      </c>
      <c r="B185" s="40" t="str">
        <f>IFERROR(VLOOKUP(A185, Terméklista!I:J, 2, FALSE), "Várom a cikkszámot...")</f>
        <v>DreamWear (4 méret 1 csomagban)</v>
      </c>
      <c r="C185" s="44">
        <v>1116747</v>
      </c>
      <c r="D185" s="40" t="str">
        <f>IFERROR(VLOOKUP(C185, Terméklista!I:J, 2, FALSE), "Várom a cikkszámot...")</f>
        <v>DreamWear szilikon váz L</v>
      </c>
      <c r="E185" s="40" t="s">
        <v>1260</v>
      </c>
      <c r="F185" s="40"/>
      <c r="G185" s="41" t="s">
        <v>1347</v>
      </c>
    </row>
    <row r="186" spans="1:7" ht="57.6" x14ac:dyDescent="0.3">
      <c r="A186" s="44">
        <v>1116720</v>
      </c>
      <c r="B186" s="40" t="str">
        <f>IFERROR(VLOOKUP(A186, Terméklista!I:J, 2, FALSE), "Várom a cikkszámot...")</f>
        <v>DreamWear (4 méret 1 csomagban)</v>
      </c>
      <c r="C186" s="44">
        <v>1116754</v>
      </c>
      <c r="D186" s="40" t="str">
        <f>IFERROR(VLOOKUP(C186, Terméklista!I:J, 2, FALSE), "Várom a cikkszámot...")</f>
        <v>DreamWear vázborítás</v>
      </c>
      <c r="E186" s="40" t="s">
        <v>1260</v>
      </c>
      <c r="F186" s="40"/>
      <c r="G186" s="41" t="s">
        <v>1347</v>
      </c>
    </row>
    <row r="187" spans="1:7" ht="57.6" x14ac:dyDescent="0.3">
      <c r="A187" s="44">
        <v>1116720</v>
      </c>
      <c r="B187" s="40" t="str">
        <f>IFERROR(VLOOKUP(A187, Terméklista!I:J, 2, FALSE), "Várom a cikkszámot...")</f>
        <v>DreamWear (4 méret 1 csomagban)</v>
      </c>
      <c r="C187" s="44">
        <v>1116748</v>
      </c>
      <c r="D187" s="40" t="str">
        <f>IFERROR(VLOOKUP(C187, Terméklista!I:J, 2, FALSE), "Várom a cikkszámot...")</f>
        <v>Dreamwear kilégző adapter</v>
      </c>
      <c r="E187" s="40" t="s">
        <v>1260</v>
      </c>
      <c r="F187" s="40"/>
      <c r="G187" s="41" t="s">
        <v>1347</v>
      </c>
    </row>
    <row r="188" spans="1:7" ht="57.6" x14ac:dyDescent="0.3">
      <c r="A188" s="44">
        <v>1146469</v>
      </c>
      <c r="B188" s="40" t="str">
        <f>IFERROR(VLOOKUP(A188, Terméklista!I:J, 2, FALSE), "Várom a cikkszámot...")</f>
        <v>Dreamwear orrillesztékes maszk (SP)</v>
      </c>
      <c r="C188" s="44">
        <v>1116740</v>
      </c>
      <c r="D188" s="40" t="str">
        <f>IFERROR(VLOOKUP(C188, Terméklista!I:J, 2, FALSE), "Várom a cikkszámot...")</f>
        <v>DreamWear orr alatti (Nasal) maszkpárna S</v>
      </c>
      <c r="E188" s="40" t="s">
        <v>1260</v>
      </c>
      <c r="F188" s="40"/>
      <c r="G188" s="41" t="s">
        <v>1347</v>
      </c>
    </row>
    <row r="189" spans="1:7" ht="57.6" x14ac:dyDescent="0.3">
      <c r="A189" s="44">
        <v>1146469</v>
      </c>
      <c r="B189" s="40" t="str">
        <f>IFERROR(VLOOKUP(A189, Terméklista!I:J, 2, FALSE), "Várom a cikkszámot...")</f>
        <v>Dreamwear orrillesztékes maszk (SP)</v>
      </c>
      <c r="C189" s="44">
        <v>1116741</v>
      </c>
      <c r="D189" s="40" t="str">
        <f>IFERROR(VLOOKUP(C189, Terméklista!I:J, 2, FALSE), "Várom a cikkszámot...")</f>
        <v>DreamWear orr alatti (Nasal) maszkpárna M</v>
      </c>
      <c r="E189" s="40" t="s">
        <v>1260</v>
      </c>
      <c r="F189" s="40"/>
      <c r="G189" s="41" t="s">
        <v>1347</v>
      </c>
    </row>
    <row r="190" spans="1:7" ht="57.6" x14ac:dyDescent="0.3">
      <c r="A190" s="44">
        <v>1146469</v>
      </c>
      <c r="B190" s="40" t="str">
        <f>IFERROR(VLOOKUP(A190, Terméklista!I:J, 2, FALSE), "Várom a cikkszámot...")</f>
        <v>Dreamwear orrillesztékes maszk (SP)</v>
      </c>
      <c r="C190" s="44">
        <v>1116742</v>
      </c>
      <c r="D190" s="40" t="str">
        <f>IFERROR(VLOOKUP(C190, Terméklista!I:J, 2, FALSE), "Várom a cikkszámot...")</f>
        <v>DreamWear orr alatti (Nasal) maszkpárna L</v>
      </c>
      <c r="E190" s="40" t="s">
        <v>1260</v>
      </c>
      <c r="F190" s="40"/>
      <c r="G190" s="41" t="s">
        <v>1347</v>
      </c>
    </row>
    <row r="191" spans="1:7" ht="57.6" x14ac:dyDescent="0.3">
      <c r="A191" s="44">
        <v>1146469</v>
      </c>
      <c r="B191" s="40" t="str">
        <f>IFERROR(VLOOKUP(A191, Terméklista!I:J, 2, FALSE), "Várom a cikkszámot...")</f>
        <v>Dreamwear orrillesztékes maszk (SP)</v>
      </c>
      <c r="C191" s="44">
        <v>1116743</v>
      </c>
      <c r="D191" s="40" t="str">
        <f>IFERROR(VLOOKUP(C191, Terméklista!I:J, 2, FALSE), "Várom a cikkszámot...")</f>
        <v>DreamWear orr alatti (Nasal) maszkpárna MW</v>
      </c>
      <c r="E191" s="40" t="s">
        <v>1260</v>
      </c>
      <c r="F191" s="40"/>
      <c r="G191" s="41" t="s">
        <v>1347</v>
      </c>
    </row>
    <row r="192" spans="1:7" ht="57.6" x14ac:dyDescent="0.3">
      <c r="A192" s="44">
        <v>1146469</v>
      </c>
      <c r="B192" s="40" t="str">
        <f>IFERROR(VLOOKUP(A192, Terméklista!I:J, 2, FALSE), "Várom a cikkszámot...")</f>
        <v>Dreamwear orrillesztékes maszk (SP)</v>
      </c>
      <c r="C192" s="44">
        <v>1146472</v>
      </c>
      <c r="D192" s="40" t="str">
        <f>IFERROR(VLOOKUP(C192, Terméklista!I:J, 2, FALSE), "Várom a cikkszámot...")</f>
        <v>Dreamwear orrillesztékes (Silicone Pillows) maszkpárna S</v>
      </c>
      <c r="E192" s="40" t="s">
        <v>1260</v>
      </c>
      <c r="F192" s="40"/>
      <c r="G192" s="41" t="s">
        <v>1347</v>
      </c>
    </row>
    <row r="193" spans="1:7" ht="57.6" x14ac:dyDescent="0.3">
      <c r="A193" s="44">
        <v>1146469</v>
      </c>
      <c r="B193" s="40" t="str">
        <f>IFERROR(VLOOKUP(A193, Terméklista!I:J, 2, FALSE), "Várom a cikkszámot...")</f>
        <v>Dreamwear orrillesztékes maszk (SP)</v>
      </c>
      <c r="C193" s="44">
        <v>1146473</v>
      </c>
      <c r="D193" s="40" t="str">
        <f>IFERROR(VLOOKUP(C193, Terméklista!I:J, 2, FALSE), "Várom a cikkszámot...")</f>
        <v>Dreamwear orrillesztékes (Silicone Pillows) maszkpárna M</v>
      </c>
      <c r="E193" s="40" t="s">
        <v>1260</v>
      </c>
      <c r="F193" s="40"/>
      <c r="G193" s="41" t="s">
        <v>1347</v>
      </c>
    </row>
    <row r="194" spans="1:7" ht="57.6" x14ac:dyDescent="0.3">
      <c r="A194" s="44">
        <v>1146469</v>
      </c>
      <c r="B194" s="40" t="str">
        <f>IFERROR(VLOOKUP(A194, Terméklista!I:J, 2, FALSE), "Várom a cikkszámot...")</f>
        <v>Dreamwear orrillesztékes maszk (SP)</v>
      </c>
      <c r="C194" s="44">
        <v>1146474</v>
      </c>
      <c r="D194" s="40" t="str">
        <f>IFERROR(VLOOKUP(C194, Terméklista!I:J, 2, FALSE), "Várom a cikkszámot...")</f>
        <v xml:space="preserve">Dreamwear orrillesztékes (Silicone Pillows) maszkpárna L </v>
      </c>
      <c r="E194" s="40" t="s">
        <v>1260</v>
      </c>
      <c r="F194" s="40"/>
      <c r="G194" s="41" t="s">
        <v>1347</v>
      </c>
    </row>
    <row r="195" spans="1:7" ht="57.6" x14ac:dyDescent="0.3">
      <c r="A195" s="44">
        <v>1146469</v>
      </c>
      <c r="B195" s="40" t="str">
        <f>IFERROR(VLOOKUP(A195, Terméklista!I:J, 2, FALSE), "Várom a cikkszámot...")</f>
        <v>Dreamwear orrillesztékes maszk (SP)</v>
      </c>
      <c r="C195" s="44">
        <v>1116751</v>
      </c>
      <c r="D195" s="40" t="str">
        <f>IFERROR(VLOOKUP(C195, Terméklista!I:J, 2, FALSE), "Várom a cikkszámot...")</f>
        <v>DreamWear fejpánt új</v>
      </c>
      <c r="E195" s="40" t="s">
        <v>1260</v>
      </c>
      <c r="F195" s="40"/>
      <c r="G195" s="41" t="s">
        <v>1347</v>
      </c>
    </row>
    <row r="196" spans="1:7" ht="57.6" x14ac:dyDescent="0.3">
      <c r="A196" s="44">
        <v>1146469</v>
      </c>
      <c r="B196" s="40" t="str">
        <f>IFERROR(VLOOKUP(A196, Terméklista!I:J, 2, FALSE), "Várom a cikkszámot...")</f>
        <v>Dreamwear orrillesztékes maszk (SP)</v>
      </c>
      <c r="C196" s="44">
        <v>1116745</v>
      </c>
      <c r="D196" s="40" t="str">
        <f>IFERROR(VLOOKUP(C196, Terméklista!I:J, 2, FALSE), "Várom a cikkszámot...")</f>
        <v>DreamWear szilikon váz S/M</v>
      </c>
      <c r="E196" s="40" t="s">
        <v>1260</v>
      </c>
      <c r="F196" s="40"/>
      <c r="G196" s="41" t="s">
        <v>1347</v>
      </c>
    </row>
    <row r="197" spans="1:7" ht="57.6" x14ac:dyDescent="0.3">
      <c r="A197" s="44">
        <v>1146469</v>
      </c>
      <c r="B197" s="40" t="str">
        <f>IFERROR(VLOOKUP(A197, Terméklista!I:J, 2, FALSE), "Várom a cikkszámot...")</f>
        <v>Dreamwear orrillesztékes maszk (SP)</v>
      </c>
      <c r="C197" s="44">
        <v>1116747</v>
      </c>
      <c r="D197" s="40" t="str">
        <f>IFERROR(VLOOKUP(C197, Terméklista!I:J, 2, FALSE), "Várom a cikkszámot...")</f>
        <v>DreamWear szilikon váz L</v>
      </c>
      <c r="E197" s="40" t="s">
        <v>1260</v>
      </c>
      <c r="F197" s="40"/>
      <c r="G197" s="41" t="s">
        <v>1347</v>
      </c>
    </row>
    <row r="198" spans="1:7" ht="57.6" x14ac:dyDescent="0.3">
      <c r="A198" s="44">
        <v>1146469</v>
      </c>
      <c r="B198" s="40" t="str">
        <f>IFERROR(VLOOKUP(A198, Terméklista!I:J, 2, FALSE), "Várom a cikkszámot...")</f>
        <v>Dreamwear orrillesztékes maszk (SP)</v>
      </c>
      <c r="C198" s="44">
        <v>1116754</v>
      </c>
      <c r="D198" s="40" t="str">
        <f>IFERROR(VLOOKUP(C198, Terméklista!I:J, 2, FALSE), "Várom a cikkszámot...")</f>
        <v>DreamWear vázborítás</v>
      </c>
      <c r="E198" s="40" t="s">
        <v>1260</v>
      </c>
      <c r="F198" s="40"/>
      <c r="G198" s="41" t="s">
        <v>1347</v>
      </c>
    </row>
    <row r="199" spans="1:7" ht="57.6" x14ac:dyDescent="0.3">
      <c r="A199" s="44">
        <v>1146469</v>
      </c>
      <c r="B199" s="40" t="str">
        <f>IFERROR(VLOOKUP(A199, Terméklista!I:J, 2, FALSE), "Várom a cikkszámot...")</f>
        <v>Dreamwear orrillesztékes maszk (SP)</v>
      </c>
      <c r="C199" s="44">
        <v>1116748</v>
      </c>
      <c r="D199" s="40" t="str">
        <f>IFERROR(VLOOKUP(C199, Terméklista!I:J, 2, FALSE), "Várom a cikkszámot...")</f>
        <v>Dreamwear kilégző adapter</v>
      </c>
      <c r="E199" s="40" t="s">
        <v>1260</v>
      </c>
      <c r="F199" s="40"/>
      <c r="G199" s="41" t="s">
        <v>1347</v>
      </c>
    </row>
    <row r="200" spans="1:7" ht="43.2" x14ac:dyDescent="0.3">
      <c r="A200" s="44">
        <v>1105168</v>
      </c>
      <c r="B200" s="40" t="str">
        <f>IFERROR(VLOOKUP(A200, Terméklista!I:J, 2, FALSE), "Várom a cikkszámot...")</f>
        <v>Nuance Pro Gel (egyben)</v>
      </c>
      <c r="C200" s="44">
        <v>1105173</v>
      </c>
      <c r="D200" s="40" t="str">
        <f>IFERROR(VLOOKUP(C200, Terméklista!I:J, 2, FALSE), "Várom a cikkszámot...")</f>
        <v>Nuance Pro maszkpárna S</v>
      </c>
      <c r="E200" s="40" t="s">
        <v>1270</v>
      </c>
      <c r="F200" s="40" t="s">
        <v>1275</v>
      </c>
      <c r="G200" s="41" t="s">
        <v>1348</v>
      </c>
    </row>
    <row r="201" spans="1:7" ht="43.2" x14ac:dyDescent="0.3">
      <c r="A201" s="44">
        <v>1105168</v>
      </c>
      <c r="B201" s="40" t="str">
        <f>IFERROR(VLOOKUP(A201, Terméklista!I:J, 2, FALSE), "Várom a cikkszámot...")</f>
        <v>Nuance Pro Gel (egyben)</v>
      </c>
      <c r="C201" s="44">
        <v>1105174</v>
      </c>
      <c r="D201" s="40" t="str">
        <f>IFERROR(VLOOKUP(C201, Terméklista!I:J, 2, FALSE), "Várom a cikkszámot...")</f>
        <v>Nuance Pro maszkpárna M</v>
      </c>
      <c r="E201" s="40" t="s">
        <v>1270</v>
      </c>
      <c r="F201" s="40"/>
      <c r="G201" s="41" t="s">
        <v>1348</v>
      </c>
    </row>
    <row r="202" spans="1:7" ht="43.2" x14ac:dyDescent="0.3">
      <c r="A202" s="44">
        <v>1105168</v>
      </c>
      <c r="B202" s="40" t="str">
        <f>IFERROR(VLOOKUP(A202, Terméklista!I:J, 2, FALSE), "Várom a cikkszámot...")</f>
        <v>Nuance Pro Gel (egyben)</v>
      </c>
      <c r="C202" s="44">
        <v>1105175</v>
      </c>
      <c r="D202" s="40" t="str">
        <f>IFERROR(VLOOKUP(C202, Terméklista!I:J, 2, FALSE), "Várom a cikkszámot...")</f>
        <v>Nuance Pro maszkpárna L</v>
      </c>
      <c r="E202" s="40" t="s">
        <v>1270</v>
      </c>
      <c r="F202" s="40"/>
      <c r="G202" s="41" t="s">
        <v>1348</v>
      </c>
    </row>
    <row r="203" spans="1:7" ht="43.2" x14ac:dyDescent="0.3">
      <c r="A203" s="44">
        <v>1105168</v>
      </c>
      <c r="B203" s="40" t="str">
        <f>IFERROR(VLOOKUP(A203, Terméklista!I:J, 2, FALSE), "Várom a cikkszámot...")</f>
        <v>Nuance Pro Gel (egyben)</v>
      </c>
      <c r="C203" s="44">
        <v>1105178</v>
      </c>
      <c r="D203" s="40" t="str">
        <f>IFERROR(VLOOKUP(C203, Terméklista!I:J, 2, FALSE), "Várom a cikkszámot...")</f>
        <v>Nuance Pro fejpánt</v>
      </c>
      <c r="E203" s="40" t="s">
        <v>1270</v>
      </c>
      <c r="F203" s="40"/>
      <c r="G203" s="41" t="s">
        <v>1348</v>
      </c>
    </row>
    <row r="204" spans="1:7" ht="43.2" x14ac:dyDescent="0.3">
      <c r="A204" s="44">
        <v>1105168</v>
      </c>
      <c r="B204" s="40" t="str">
        <f>IFERROR(VLOOKUP(A204, Terméklista!I:J, 2, FALSE), "Várom a cikkszámot...")</f>
        <v>Nuance Pro Gel (egyben)</v>
      </c>
      <c r="C204" s="44">
        <v>1105179</v>
      </c>
      <c r="D204" s="40" t="str">
        <f>IFERROR(VLOOKUP(C204, Terméklista!I:J, 2, FALSE), "Várom a cikkszámot...")</f>
        <v>Nuance pro frame</v>
      </c>
      <c r="E204" s="40" t="s">
        <v>1270</v>
      </c>
      <c r="F204" s="40"/>
      <c r="G204" s="41" t="s">
        <v>1348</v>
      </c>
    </row>
    <row r="205" spans="1:7" ht="43.2" x14ac:dyDescent="0.3">
      <c r="A205" s="44">
        <v>1105168</v>
      </c>
      <c r="B205" s="40" t="str">
        <f>IFERROR(VLOOKUP(A205, Terméklista!I:J, 2, FALSE), "Várom a cikkszámot...")</f>
        <v>Nuance Pro Gel (egyben)</v>
      </c>
      <c r="C205" s="44">
        <v>1105180</v>
      </c>
      <c r="D205" s="40" t="str">
        <f>IFERROR(VLOOKUP(C205, Terméklista!I:J, 2, FALSE), "Várom a cikkszámot...")</f>
        <v>Nuance maszkcső</v>
      </c>
      <c r="E205" s="40" t="s">
        <v>1270</v>
      </c>
      <c r="F205" s="40"/>
      <c r="G205" s="41" t="s">
        <v>1348</v>
      </c>
    </row>
    <row r="206" spans="1:7" ht="43.2" x14ac:dyDescent="0.3">
      <c r="A206" s="44">
        <v>1104921</v>
      </c>
      <c r="B206" s="40" t="str">
        <f>IFERROR(VLOOKUP(A206, Terméklista!I:J, 2, FALSE), "Várom a cikkszámot...")</f>
        <v>Pico (S/M)</v>
      </c>
      <c r="C206" s="44">
        <v>1104936</v>
      </c>
      <c r="D206" s="40" t="str">
        <f>IFERROR(VLOOKUP(C206, Terméklista!I:J, 2, FALSE), "Várom a cikkszámot...")</f>
        <v>Pico maszkpárna S/M</v>
      </c>
      <c r="E206" s="40" t="s">
        <v>1263</v>
      </c>
      <c r="F206" s="40" t="s">
        <v>1274</v>
      </c>
      <c r="G206" s="41" t="s">
        <v>1349</v>
      </c>
    </row>
    <row r="207" spans="1:7" ht="43.2" x14ac:dyDescent="0.3">
      <c r="A207" s="44">
        <v>1104921</v>
      </c>
      <c r="B207" s="40" t="str">
        <f>IFERROR(VLOOKUP(A207, Terméklista!I:J, 2, FALSE), "Várom a cikkszámot...")</f>
        <v>Pico (S/M)</v>
      </c>
      <c r="C207" s="44">
        <v>1104937</v>
      </c>
      <c r="D207" s="40" t="str">
        <f>IFERROR(VLOOKUP(C207, Terméklista!I:J, 2, FALSE), "Várom a cikkszámot...")</f>
        <v>Pico maszkpárna L</v>
      </c>
      <c r="E207" s="40" t="s">
        <v>1263</v>
      </c>
      <c r="G207" s="41" t="s">
        <v>1349</v>
      </c>
    </row>
    <row r="208" spans="1:7" ht="43.2" x14ac:dyDescent="0.3">
      <c r="A208" s="49">
        <v>1104921</v>
      </c>
      <c r="B208" s="40" t="str">
        <f>IFERROR(VLOOKUP(A208, Terméklista!I:J, 2, FALSE), "Várom a cikkszámot...")</f>
        <v>Pico (S/M)</v>
      </c>
      <c r="C208" s="44">
        <v>1104938</v>
      </c>
      <c r="D208" s="40" t="str">
        <f>IFERROR(VLOOKUP(C208, Terméklista!I:J, 2, FALSE), "Várom a cikkszámot...")</f>
        <v>Pico maszkpárna XL</v>
      </c>
      <c r="E208" s="40" t="s">
        <v>1263</v>
      </c>
      <c r="F208" s="40"/>
      <c r="G208" s="41" t="s">
        <v>1349</v>
      </c>
    </row>
    <row r="209" spans="1:7" ht="43.2" x14ac:dyDescent="0.3">
      <c r="A209" s="44">
        <v>1104921</v>
      </c>
      <c r="B209" s="40" t="str">
        <f>IFERROR(VLOOKUP(A209, Terméklista!I:J, 2, FALSE), "Várom a cikkszámot...")</f>
        <v>Pico (S/M)</v>
      </c>
      <c r="C209" s="44">
        <v>1146406</v>
      </c>
      <c r="D209" s="40" t="str">
        <f>IFERROR(VLOOKUP(C209, Terméklista!I:J, 2, FALSE), "Várom a cikkszámot...")</f>
        <v>Pico fejpánt</v>
      </c>
      <c r="E209" s="40" t="s">
        <v>1263</v>
      </c>
      <c r="F209" s="40"/>
      <c r="G209" s="41" t="s">
        <v>1349</v>
      </c>
    </row>
    <row r="210" spans="1:7" ht="43.2" x14ac:dyDescent="0.3">
      <c r="A210" s="44">
        <v>1104922</v>
      </c>
      <c r="B210" s="40" t="str">
        <f>IFERROR(VLOOKUP(A210, Terméklista!I:J, 2, FALSE), "Várom a cikkszámot...")</f>
        <v>Pico (L)</v>
      </c>
      <c r="C210" s="44">
        <v>1104936</v>
      </c>
      <c r="D210" s="40" t="str">
        <f>IFERROR(VLOOKUP(C210, Terméklista!I:J, 2, FALSE), "Várom a cikkszámot...")</f>
        <v>Pico maszkpárna S/M</v>
      </c>
      <c r="E210" s="40" t="s">
        <v>1263</v>
      </c>
      <c r="F210" s="40" t="s">
        <v>1274</v>
      </c>
      <c r="G210" s="41" t="s">
        <v>1349</v>
      </c>
    </row>
    <row r="211" spans="1:7" ht="43.2" x14ac:dyDescent="0.3">
      <c r="A211" s="44">
        <v>1104922</v>
      </c>
      <c r="B211" s="40" t="str">
        <f>IFERROR(VLOOKUP(A211, Terméklista!I:J, 2, FALSE), "Várom a cikkszámot...")</f>
        <v>Pico (L)</v>
      </c>
      <c r="C211" s="44">
        <v>1104937</v>
      </c>
      <c r="D211" s="40" t="str">
        <f>IFERROR(VLOOKUP(C211, Terméklista!I:J, 2, FALSE), "Várom a cikkszámot...")</f>
        <v>Pico maszkpárna L</v>
      </c>
      <c r="E211" s="40" t="s">
        <v>1263</v>
      </c>
      <c r="F211" s="40"/>
      <c r="G211" s="41" t="s">
        <v>1349</v>
      </c>
    </row>
    <row r="212" spans="1:7" ht="43.2" x14ac:dyDescent="0.3">
      <c r="A212" s="44">
        <v>1104922</v>
      </c>
      <c r="B212" s="40" t="str">
        <f>IFERROR(VLOOKUP(A212, Terméklista!I:J, 2, FALSE), "Várom a cikkszámot...")</f>
        <v>Pico (L)</v>
      </c>
      <c r="C212" s="44">
        <v>1104938</v>
      </c>
      <c r="D212" s="40" t="str">
        <f>IFERROR(VLOOKUP(C212, Terméklista!I:J, 2, FALSE), "Várom a cikkszámot...")</f>
        <v>Pico maszkpárna XL</v>
      </c>
      <c r="E212" s="40" t="s">
        <v>1263</v>
      </c>
      <c r="F212" s="40"/>
      <c r="G212" s="41" t="s">
        <v>1349</v>
      </c>
    </row>
    <row r="213" spans="1:7" ht="43.2" x14ac:dyDescent="0.3">
      <c r="A213" s="44">
        <v>1104922</v>
      </c>
      <c r="B213" s="40" t="str">
        <f>IFERROR(VLOOKUP(A213, Terméklista!I:J, 2, FALSE), "Várom a cikkszámot...")</f>
        <v>Pico (L)</v>
      </c>
      <c r="C213" s="44">
        <v>1146406</v>
      </c>
      <c r="D213" s="40" t="str">
        <f>IFERROR(VLOOKUP(C213, Terméklista!I:J, 2, FALSE), "Várom a cikkszámot...")</f>
        <v>Pico fejpánt</v>
      </c>
      <c r="E213" s="40" t="s">
        <v>1263</v>
      </c>
      <c r="F213" s="40"/>
      <c r="G213" s="41" t="s">
        <v>1349</v>
      </c>
    </row>
    <row r="214" spans="1:7" ht="43.2" x14ac:dyDescent="0.3">
      <c r="A214" s="44">
        <v>1104923</v>
      </c>
      <c r="B214" s="40" t="str">
        <f>IFERROR(VLOOKUP(A214, Terméklista!I:J, 2, FALSE), "Várom a cikkszámot...")</f>
        <v>Pico (XL)</v>
      </c>
      <c r="C214" s="44">
        <v>1104936</v>
      </c>
      <c r="D214" s="40" t="str">
        <f>IFERROR(VLOOKUP(C214, Terméklista!I:J, 2, FALSE), "Várom a cikkszámot...")</f>
        <v>Pico maszkpárna S/M</v>
      </c>
      <c r="E214" s="40" t="s">
        <v>1263</v>
      </c>
      <c r="F214" s="40" t="s">
        <v>1274</v>
      </c>
      <c r="G214" s="41" t="s">
        <v>1349</v>
      </c>
    </row>
    <row r="215" spans="1:7" ht="43.2" x14ac:dyDescent="0.3">
      <c r="A215" s="44">
        <v>1104923</v>
      </c>
      <c r="B215" s="40" t="str">
        <f>IFERROR(VLOOKUP(A215, Terméklista!I:J, 2, FALSE), "Várom a cikkszámot...")</f>
        <v>Pico (XL)</v>
      </c>
      <c r="C215" s="44">
        <v>1104937</v>
      </c>
      <c r="D215" s="40" t="str">
        <f>IFERROR(VLOOKUP(C215, Terméklista!I:J, 2, FALSE), "Várom a cikkszámot...")</f>
        <v>Pico maszkpárna L</v>
      </c>
      <c r="E215" s="40" t="s">
        <v>1263</v>
      </c>
      <c r="F215" s="40"/>
      <c r="G215" s="41" t="s">
        <v>1349</v>
      </c>
    </row>
    <row r="216" spans="1:7" ht="43.2" x14ac:dyDescent="0.3">
      <c r="A216" s="44">
        <v>1104923</v>
      </c>
      <c r="B216" s="40" t="str">
        <f>IFERROR(VLOOKUP(A216, Terméklista!I:J, 2, FALSE), "Várom a cikkszámot...")</f>
        <v>Pico (XL)</v>
      </c>
      <c r="C216" s="44">
        <v>1104938</v>
      </c>
      <c r="D216" s="40" t="str">
        <f>IFERROR(VLOOKUP(C216, Terméklista!I:J, 2, FALSE), "Várom a cikkszámot...")</f>
        <v>Pico maszkpárna XL</v>
      </c>
      <c r="E216" s="40" t="s">
        <v>1263</v>
      </c>
      <c r="F216" s="40"/>
      <c r="G216" s="41" t="s">
        <v>1349</v>
      </c>
    </row>
    <row r="217" spans="1:7" ht="43.2" x14ac:dyDescent="0.3">
      <c r="A217" s="44">
        <v>1104923</v>
      </c>
      <c r="B217" s="40" t="str">
        <f>IFERROR(VLOOKUP(A217, Terméklista!I:J, 2, FALSE), "Várom a cikkszámot...")</f>
        <v>Pico (XL)</v>
      </c>
      <c r="C217" s="44">
        <v>1146406</v>
      </c>
      <c r="D217" s="40" t="str">
        <f>IFERROR(VLOOKUP(C217, Terméklista!I:J, 2, FALSE), "Várom a cikkszámot...")</f>
        <v>Pico fejpánt</v>
      </c>
      <c r="E217" s="40" t="s">
        <v>1263</v>
      </c>
      <c r="F217" s="40"/>
      <c r="G217" s="41" t="s">
        <v>1349</v>
      </c>
    </row>
    <row r="218" spans="1:7" ht="43.2" x14ac:dyDescent="0.3">
      <c r="A218" s="44">
        <v>1094060</v>
      </c>
      <c r="B218" s="40" t="str">
        <f>IFERROR(VLOOKUP(A218, Terméklista!I:J, 2, FALSE), "Várom a cikkszámot...")</f>
        <v>Wisp (3 méret 1 csomagban) átlátszó váz</v>
      </c>
      <c r="C218" s="44">
        <v>1094087</v>
      </c>
      <c r="D218" s="40" t="str">
        <f>IFERROR(VLOOKUP(C218, Terméklista!I:J, 2, FALSE), "Várom a cikkszámot...")</f>
        <v>Wisp maszkpárna SM</v>
      </c>
      <c r="E218" s="40" t="s">
        <v>1262</v>
      </c>
      <c r="F218" s="40" t="s">
        <v>1275</v>
      </c>
      <c r="G218" s="41" t="s">
        <v>1350</v>
      </c>
    </row>
    <row r="219" spans="1:7" ht="43.2" x14ac:dyDescent="0.3">
      <c r="A219" s="44">
        <v>1094060</v>
      </c>
      <c r="B219" s="40" t="str">
        <f>IFERROR(VLOOKUP(A219, Terméklista!I:J, 2, FALSE), "Várom a cikkszámot...")</f>
        <v>Wisp (3 méret 1 csomagban) átlátszó váz</v>
      </c>
      <c r="C219" s="44">
        <v>1094088</v>
      </c>
      <c r="D219" s="40" t="str">
        <f>IFERROR(VLOOKUP(C219, Terméklista!I:J, 2, FALSE), "Várom a cikkszámot...")</f>
        <v>Wisp maszkpárna L</v>
      </c>
      <c r="E219" s="40" t="s">
        <v>1262</v>
      </c>
      <c r="F219" s="40"/>
      <c r="G219" s="41" t="s">
        <v>1350</v>
      </c>
    </row>
    <row r="220" spans="1:7" ht="43.2" x14ac:dyDescent="0.3">
      <c r="A220" s="44">
        <v>1094060</v>
      </c>
      <c r="B220" s="40" t="str">
        <f>IFERROR(VLOOKUP(A220, Terméklista!I:J, 2, FALSE), "Várom a cikkszámot...")</f>
        <v>Wisp (3 méret 1 csomagban) átlátszó váz</v>
      </c>
      <c r="C220" s="44">
        <v>1112031</v>
      </c>
      <c r="D220" s="40" t="str">
        <f>IFERROR(VLOOKUP(C220, Terméklista!I:J, 2, FALSE), "Várom a cikkszámot...")</f>
        <v>Wisp maszkpárna XL</v>
      </c>
      <c r="E220" s="40" t="s">
        <v>1262</v>
      </c>
      <c r="F220" s="40"/>
      <c r="G220" s="41" t="s">
        <v>1350</v>
      </c>
    </row>
    <row r="221" spans="1:7" ht="43.2" x14ac:dyDescent="0.3">
      <c r="A221" s="44">
        <v>1094060</v>
      </c>
      <c r="B221" s="40" t="str">
        <f>IFERROR(VLOOKUP(A221, Terméklista!I:J, 2, FALSE), "Várom a cikkszámot...")</f>
        <v>Wisp (3 méret 1 csomagban) átlátszó váz</v>
      </c>
      <c r="C221" s="44">
        <v>1094078</v>
      </c>
      <c r="D221" s="40" t="str">
        <f>IFERROR(VLOOKUP(C221, Terméklista!I:J, 2, FALSE), "Várom a cikkszámot...")</f>
        <v>Wisp fejpánt</v>
      </c>
      <c r="E221" s="40" t="s">
        <v>1262</v>
      </c>
      <c r="F221" s="40"/>
      <c r="G221" s="41" t="s">
        <v>1350</v>
      </c>
    </row>
    <row r="222" spans="1:7" ht="43.2" x14ac:dyDescent="0.3">
      <c r="A222" s="44">
        <v>1094060</v>
      </c>
      <c r="B222" s="40" t="str">
        <f>IFERROR(VLOOKUP(A222, Terméklista!I:J, 2, FALSE), "Várom a cikkszámot...")</f>
        <v>Wisp (3 méret 1 csomagban) átlátszó váz</v>
      </c>
      <c r="C222" s="44">
        <v>1109307</v>
      </c>
      <c r="D222" s="40" t="str">
        <f>IFERROR(VLOOKUP(C222, Terméklista!I:J, 2, FALSE), "Várom a cikkszámot...")</f>
        <v>Wisp fejpánt S</v>
      </c>
      <c r="E222" s="40" t="s">
        <v>1262</v>
      </c>
      <c r="F222" s="40"/>
      <c r="G222" s="41" t="s">
        <v>1350</v>
      </c>
    </row>
    <row r="223" spans="1:7" ht="43.2" x14ac:dyDescent="0.3">
      <c r="A223" s="44">
        <v>1094060</v>
      </c>
      <c r="B223" s="40" t="str">
        <f>IFERROR(VLOOKUP(A223, Terméklista!I:J, 2, FALSE), "Várom a cikkszámot...")</f>
        <v>Wisp (3 méret 1 csomagban) átlátszó váz</v>
      </c>
      <c r="C223" s="44">
        <v>1094080</v>
      </c>
      <c r="D223" s="40" t="str">
        <f>IFERROR(VLOOKUP(C223, Terméklista!I:J, 2, FALSE), "Várom a cikkszámot...")</f>
        <v>Wisp váz szilikon</v>
      </c>
      <c r="E223" s="40" t="s">
        <v>1262</v>
      </c>
      <c r="F223" s="40"/>
      <c r="G223" s="41" t="s">
        <v>1350</v>
      </c>
    </row>
    <row r="224" spans="1:7" ht="43.2" x14ac:dyDescent="0.3">
      <c r="A224" s="44">
        <v>1094060</v>
      </c>
      <c r="B224" s="40" t="str">
        <f>IFERROR(VLOOKUP(A224, Terméklista!I:J, 2, FALSE), "Várom a cikkszámot...")</f>
        <v>Wisp (3 méret 1 csomagban) átlátszó váz</v>
      </c>
      <c r="C224" s="44">
        <v>1094081</v>
      </c>
      <c r="D224" s="40" t="str">
        <f>IFERROR(VLOOKUP(C224, Terméklista!I:J, 2, FALSE), "Várom a cikkszámot...")</f>
        <v>Wisp váz textil</v>
      </c>
      <c r="E224" s="40" t="s">
        <v>1262</v>
      </c>
      <c r="F224" s="40"/>
      <c r="G224" s="41" t="s">
        <v>1350</v>
      </c>
    </row>
    <row r="225" spans="1:7" ht="43.2" x14ac:dyDescent="0.3">
      <c r="A225" s="44">
        <v>1094060</v>
      </c>
      <c r="B225" s="40" t="str">
        <f>IFERROR(VLOOKUP(A225, Terméklista!I:J, 2, FALSE), "Várom a cikkszámot...")</f>
        <v>Wisp (3 méret 1 csomagban) átlátszó váz</v>
      </c>
      <c r="C225" s="44">
        <v>1105624</v>
      </c>
      <c r="D225" s="40" t="str">
        <f>IFERROR(VLOOKUP(C225, Terméklista!I:J, 2, FALSE), "Várom a cikkszámot...")</f>
        <v>Wisp maszkcső és könyök</v>
      </c>
      <c r="E225" s="40" t="s">
        <v>1262</v>
      </c>
      <c r="F225" s="40"/>
      <c r="G225" s="41" t="s">
        <v>1350</v>
      </c>
    </row>
    <row r="226" spans="1:7" ht="43.2" x14ac:dyDescent="0.3">
      <c r="A226" s="44">
        <v>1094061</v>
      </c>
      <c r="B226" s="40" t="str">
        <f>IFERROR(VLOOKUP(A226, Terméklista!I:J, 2, FALSE), "Várom a cikkszámot...")</f>
        <v>Wisp (3 méret 1 csomagban) textil váz</v>
      </c>
      <c r="C226" s="44">
        <v>1094087</v>
      </c>
      <c r="D226" s="40" t="str">
        <f>IFERROR(VLOOKUP(C226, Terméklista!I:J, 2, FALSE), "Várom a cikkszámot...")</f>
        <v>Wisp maszkpárna SM</v>
      </c>
      <c r="E226" s="40" t="s">
        <v>1262</v>
      </c>
      <c r="F226" s="40" t="s">
        <v>1275</v>
      </c>
      <c r="G226" s="41" t="s">
        <v>1350</v>
      </c>
    </row>
    <row r="227" spans="1:7" ht="43.2" x14ac:dyDescent="0.3">
      <c r="A227" s="44">
        <v>1094061</v>
      </c>
      <c r="B227" s="40" t="str">
        <f>IFERROR(VLOOKUP(A227, Terméklista!I:J, 2, FALSE), "Várom a cikkszámot...")</f>
        <v>Wisp (3 méret 1 csomagban) textil váz</v>
      </c>
      <c r="C227" s="44">
        <v>1094088</v>
      </c>
      <c r="D227" s="40" t="str">
        <f>IFERROR(VLOOKUP(C227, Terméklista!I:J, 2, FALSE), "Várom a cikkszámot...")</f>
        <v>Wisp maszkpárna L</v>
      </c>
      <c r="E227" s="40" t="s">
        <v>1262</v>
      </c>
      <c r="F227" s="40"/>
      <c r="G227" s="41" t="s">
        <v>1350</v>
      </c>
    </row>
    <row r="228" spans="1:7" ht="43.2" x14ac:dyDescent="0.3">
      <c r="A228" s="44">
        <v>1094061</v>
      </c>
      <c r="B228" s="40" t="str">
        <f>IFERROR(VLOOKUP(A228, Terméklista!I:J, 2, FALSE), "Várom a cikkszámot...")</f>
        <v>Wisp (3 méret 1 csomagban) textil váz</v>
      </c>
      <c r="C228" s="44">
        <v>1112031</v>
      </c>
      <c r="D228" s="40" t="str">
        <f>IFERROR(VLOOKUP(C228, Terméklista!I:J, 2, FALSE), "Várom a cikkszámot...")</f>
        <v>Wisp maszkpárna XL</v>
      </c>
      <c r="E228" s="40" t="s">
        <v>1262</v>
      </c>
      <c r="F228" s="40"/>
      <c r="G228" s="41" t="s">
        <v>1350</v>
      </c>
    </row>
    <row r="229" spans="1:7" ht="43.2" x14ac:dyDescent="0.3">
      <c r="A229" s="44">
        <v>1094061</v>
      </c>
      <c r="B229" s="40" t="str">
        <f>IFERROR(VLOOKUP(A229, Terméklista!I:J, 2, FALSE), "Várom a cikkszámot...")</f>
        <v>Wisp (3 méret 1 csomagban) textil váz</v>
      </c>
      <c r="C229" s="44">
        <v>1094078</v>
      </c>
      <c r="D229" s="40" t="str">
        <f>IFERROR(VLOOKUP(C229, Terméklista!I:J, 2, FALSE), "Várom a cikkszámot...")</f>
        <v>Wisp fejpánt</v>
      </c>
      <c r="E229" s="40" t="s">
        <v>1262</v>
      </c>
      <c r="F229" s="40"/>
      <c r="G229" s="41" t="s">
        <v>1350</v>
      </c>
    </row>
    <row r="230" spans="1:7" ht="43.2" x14ac:dyDescent="0.3">
      <c r="A230" s="44">
        <v>1094061</v>
      </c>
      <c r="B230" s="40" t="str">
        <f>IFERROR(VLOOKUP(A230, Terméklista!I:J, 2, FALSE), "Várom a cikkszámot...")</f>
        <v>Wisp (3 méret 1 csomagban) textil váz</v>
      </c>
      <c r="C230" s="44">
        <v>1109307</v>
      </c>
      <c r="D230" s="40" t="str">
        <f>IFERROR(VLOOKUP(C230, Terméklista!I:J, 2, FALSE), "Várom a cikkszámot...")</f>
        <v>Wisp fejpánt S</v>
      </c>
      <c r="E230" s="40" t="s">
        <v>1262</v>
      </c>
      <c r="F230" s="40"/>
      <c r="G230" s="41" t="s">
        <v>1350</v>
      </c>
    </row>
    <row r="231" spans="1:7" ht="43.2" x14ac:dyDescent="0.3">
      <c r="A231" s="44">
        <v>1094061</v>
      </c>
      <c r="B231" s="40" t="str">
        <f>IFERROR(VLOOKUP(A231, Terméklista!I:J, 2, FALSE), "Várom a cikkszámot...")</f>
        <v>Wisp (3 méret 1 csomagban) textil váz</v>
      </c>
      <c r="C231" s="44">
        <v>1094080</v>
      </c>
      <c r="D231" s="40" t="str">
        <f>IFERROR(VLOOKUP(C231, Terméklista!I:J, 2, FALSE), "Várom a cikkszámot...")</f>
        <v>Wisp váz szilikon</v>
      </c>
      <c r="E231" s="40" t="s">
        <v>1262</v>
      </c>
      <c r="F231" s="40"/>
      <c r="G231" s="41" t="s">
        <v>1350</v>
      </c>
    </row>
    <row r="232" spans="1:7" ht="43.2" x14ac:dyDescent="0.3">
      <c r="A232" s="44">
        <v>1094061</v>
      </c>
      <c r="B232" s="40" t="str">
        <f>IFERROR(VLOOKUP(A232, Terméklista!I:J, 2, FALSE), "Várom a cikkszámot...")</f>
        <v>Wisp (3 méret 1 csomagban) textil váz</v>
      </c>
      <c r="C232" s="44">
        <v>1094081</v>
      </c>
      <c r="D232" s="40" t="str">
        <f>IFERROR(VLOOKUP(C232, Terméklista!I:J, 2, FALSE), "Várom a cikkszámot...")</f>
        <v>Wisp váz textil</v>
      </c>
      <c r="E232" s="40" t="s">
        <v>1262</v>
      </c>
      <c r="F232" s="40"/>
      <c r="G232" s="41" t="s">
        <v>1350</v>
      </c>
    </row>
    <row r="233" spans="1:7" ht="43.2" x14ac:dyDescent="0.3">
      <c r="A233" s="44">
        <v>1094061</v>
      </c>
      <c r="B233" s="40" t="str">
        <f>IFERROR(VLOOKUP(A233, Terméklista!I:J, 2, FALSE), "Várom a cikkszámot...")</f>
        <v>Wisp (3 méret 1 csomagban) textil váz</v>
      </c>
      <c r="C233" s="44">
        <v>1105624</v>
      </c>
      <c r="D233" s="40" t="str">
        <f>IFERROR(VLOOKUP(C233, Terméklista!I:J, 2, FALSE), "Várom a cikkszámot...")</f>
        <v>Wisp maszkcső és könyök</v>
      </c>
      <c r="E233" s="40" t="s">
        <v>1262</v>
      </c>
      <c r="F233" s="40"/>
      <c r="G233" s="41" t="s">
        <v>1350</v>
      </c>
    </row>
    <row r="234" spans="1:7" ht="43.2" x14ac:dyDescent="0.3">
      <c r="A234" s="42" t="s">
        <v>119</v>
      </c>
      <c r="B234" s="40" t="str">
        <f>IFERROR(VLOOKUP(A234, Terméklista!I:J, 2, FALSE), "Várom a cikkszámot...")</f>
        <v>Cara Full (S)</v>
      </c>
      <c r="C234" s="44" t="s">
        <v>210</v>
      </c>
      <c r="D234" s="40" t="str">
        <f>IFERROR(VLOOKUP(C234, Terméklista!I:J, 2, FALSE), "Várom a cikkszámot...")</f>
        <v>CARA Full maszkpárna S</v>
      </c>
      <c r="E234" s="40" t="s">
        <v>1296</v>
      </c>
      <c r="F234" s="40" t="s">
        <v>1274</v>
      </c>
      <c r="G234" s="41" t="s">
        <v>1351</v>
      </c>
    </row>
    <row r="235" spans="1:7" ht="43.2" x14ac:dyDescent="0.3">
      <c r="A235" s="42" t="s">
        <v>119</v>
      </c>
      <c r="B235" s="40" t="str">
        <f>IFERROR(VLOOKUP(A235, Terméklista!I:J, 2, FALSE), "Várom a cikkszámot...")</f>
        <v>Cara Full (S)</v>
      </c>
      <c r="C235" s="44" t="s">
        <v>212</v>
      </c>
      <c r="D235" s="40" t="str">
        <f>IFERROR(VLOOKUP(C235, Terméklista!I:J, 2, FALSE), "Várom a cikkszámot...")</f>
        <v>CARA Full maszkpárna M</v>
      </c>
      <c r="E235" s="40" t="s">
        <v>1296</v>
      </c>
      <c r="F235" s="40"/>
      <c r="G235" s="41" t="s">
        <v>1351</v>
      </c>
    </row>
    <row r="236" spans="1:7" ht="43.2" x14ac:dyDescent="0.3">
      <c r="A236" s="42" t="s">
        <v>119</v>
      </c>
      <c r="B236" s="40" t="str">
        <f>IFERROR(VLOOKUP(A236, Terméklista!I:J, 2, FALSE), "Várom a cikkszámot...")</f>
        <v>Cara Full (S)</v>
      </c>
      <c r="C236" s="44" t="s">
        <v>214</v>
      </c>
      <c r="D236" s="40" t="str">
        <f>IFERROR(VLOOKUP(C236, Terméklista!I:J, 2, FALSE), "Várom a cikkszámot...")</f>
        <v>CARA Full maszkpárna L</v>
      </c>
      <c r="E236" s="40" t="s">
        <v>1296</v>
      </c>
      <c r="F236" s="40"/>
      <c r="G236" s="41" t="s">
        <v>1351</v>
      </c>
    </row>
    <row r="237" spans="1:7" ht="43.2" x14ac:dyDescent="0.3">
      <c r="A237" s="42" t="s">
        <v>119</v>
      </c>
      <c r="B237" s="40" t="str">
        <f>IFERROR(VLOOKUP(A237, Terméklista!I:J, 2, FALSE), "Várom a cikkszámot...")</f>
        <v>Cara Full (S)</v>
      </c>
      <c r="C237" s="44" t="s">
        <v>216</v>
      </c>
      <c r="D237" s="40" t="str">
        <f>IFERROR(VLOOKUP(C237, Terméklista!I:J, 2, FALSE), "Várom a cikkszámot...")</f>
        <v>Cara Full maszkpárna XL</v>
      </c>
      <c r="E237" s="40" t="s">
        <v>1296</v>
      </c>
      <c r="F237" s="40"/>
      <c r="G237" s="41" t="s">
        <v>1351</v>
      </c>
    </row>
    <row r="238" spans="1:7" ht="43.2" x14ac:dyDescent="0.3">
      <c r="A238" s="42" t="s">
        <v>119</v>
      </c>
      <c r="B238" s="40" t="str">
        <f>IFERROR(VLOOKUP(A238, Terméklista!I:J, 2, FALSE), "Várom a cikkszámot...")</f>
        <v>Cara Full (S)</v>
      </c>
      <c r="C238" s="44" t="s">
        <v>1036</v>
      </c>
      <c r="D238" s="40" t="str">
        <f>IFERROR(VLOOKUP(C238, Terméklista!I:J, 2, FALSE), "Várom a cikkszámot...")</f>
        <v>CARA FF fejpánt</v>
      </c>
      <c r="E238" s="40" t="s">
        <v>1296</v>
      </c>
      <c r="F238" s="40"/>
      <c r="G238" s="41" t="s">
        <v>1351</v>
      </c>
    </row>
    <row r="239" spans="1:7" ht="43.2" x14ac:dyDescent="0.3">
      <c r="A239" s="42" t="s">
        <v>119</v>
      </c>
      <c r="B239" s="40" t="str">
        <f>IFERROR(VLOOKUP(A239, Terméklista!I:J, 2, FALSE), "Várom a cikkszámot...")</f>
        <v>Cara Full (S)</v>
      </c>
      <c r="C239" s="44" t="s">
        <v>259</v>
      </c>
      <c r="D239" s="40" t="str">
        <f>IFERROR(VLOOKUP(C239, Terméklista!I:J, 2, FALSE), "Várom a cikkszámot...")</f>
        <v xml:space="preserve">XL-es fejpánt Löwenstein Fullface maszkokhoz (J.ONE /CARA/LENA/J.EASY/J.EASY NEXT) </v>
      </c>
      <c r="E239" s="40" t="s">
        <v>1296</v>
      </c>
      <c r="F239" s="40"/>
      <c r="G239" s="41" t="s">
        <v>1351</v>
      </c>
    </row>
    <row r="240" spans="1:7" ht="43.2" x14ac:dyDescent="0.3">
      <c r="A240" s="42" t="s">
        <v>124</v>
      </c>
      <c r="B240" s="40" t="str">
        <f>IFERROR(VLOOKUP(A240, Terméklista!I:J, 2, FALSE), "Várom a cikkszámot...")</f>
        <v>Cara Full (M)</v>
      </c>
      <c r="C240" s="44" t="s">
        <v>210</v>
      </c>
      <c r="D240" s="40" t="str">
        <f>IFERROR(VLOOKUP(C240, Terméklista!I:J, 2, FALSE), "Várom a cikkszámot...")</f>
        <v>CARA Full maszkpárna S</v>
      </c>
      <c r="E240" s="40" t="s">
        <v>1296</v>
      </c>
      <c r="F240" s="40"/>
      <c r="G240" s="41" t="s">
        <v>1351</v>
      </c>
    </row>
    <row r="241" spans="1:7" ht="43.2" x14ac:dyDescent="0.3">
      <c r="A241" s="42" t="s">
        <v>124</v>
      </c>
      <c r="B241" s="40" t="str">
        <f>IFERROR(VLOOKUP(A241, Terméklista!I:J, 2, FALSE), "Várom a cikkszámot...")</f>
        <v>Cara Full (M)</v>
      </c>
      <c r="C241" s="44" t="s">
        <v>212</v>
      </c>
      <c r="D241" s="40" t="str">
        <f>IFERROR(VLOOKUP(C241, Terméklista!I:J, 2, FALSE), "Várom a cikkszámot...")</f>
        <v>CARA Full maszkpárna M</v>
      </c>
      <c r="E241" s="40" t="s">
        <v>1296</v>
      </c>
      <c r="F241" s="40"/>
      <c r="G241" s="41" t="s">
        <v>1351</v>
      </c>
    </row>
    <row r="242" spans="1:7" ht="43.2" x14ac:dyDescent="0.3">
      <c r="A242" s="42" t="s">
        <v>124</v>
      </c>
      <c r="B242" s="40" t="str">
        <f>IFERROR(VLOOKUP(A242, Terméklista!I:J, 2, FALSE), "Várom a cikkszámot...")</f>
        <v>Cara Full (M)</v>
      </c>
      <c r="C242" s="44" t="s">
        <v>214</v>
      </c>
      <c r="D242" s="40" t="str">
        <f>IFERROR(VLOOKUP(C242, Terméklista!I:J, 2, FALSE), "Várom a cikkszámot...")</f>
        <v>CARA Full maszkpárna L</v>
      </c>
      <c r="E242" s="40" t="s">
        <v>1296</v>
      </c>
      <c r="F242" s="40"/>
      <c r="G242" s="41" t="s">
        <v>1351</v>
      </c>
    </row>
    <row r="243" spans="1:7" ht="43.2" x14ac:dyDescent="0.3">
      <c r="A243" s="42" t="s">
        <v>124</v>
      </c>
      <c r="B243" s="40" t="str">
        <f>IFERROR(VLOOKUP(A243, Terméklista!I:J, 2, FALSE), "Várom a cikkszámot...")</f>
        <v>Cara Full (M)</v>
      </c>
      <c r="C243" s="44" t="s">
        <v>216</v>
      </c>
      <c r="D243" s="40" t="str">
        <f>IFERROR(VLOOKUP(C243, Terméklista!I:J, 2, FALSE), "Várom a cikkszámot...")</f>
        <v>Cara Full maszkpárna XL</v>
      </c>
      <c r="E243" s="40" t="s">
        <v>1296</v>
      </c>
      <c r="F243" s="40"/>
      <c r="G243" s="41" t="s">
        <v>1351</v>
      </c>
    </row>
    <row r="244" spans="1:7" ht="43.2" x14ac:dyDescent="0.3">
      <c r="A244" s="42" t="s">
        <v>124</v>
      </c>
      <c r="B244" s="40" t="str">
        <f>IFERROR(VLOOKUP(A244, Terméklista!I:J, 2, FALSE), "Várom a cikkszámot...")</f>
        <v>Cara Full (M)</v>
      </c>
      <c r="C244" s="44" t="s">
        <v>1036</v>
      </c>
      <c r="D244" s="40" t="str">
        <f>IFERROR(VLOOKUP(C244, Terméklista!I:J, 2, FALSE), "Várom a cikkszámot...")</f>
        <v>CARA FF fejpánt</v>
      </c>
      <c r="E244" s="40" t="s">
        <v>1296</v>
      </c>
      <c r="F244" s="40"/>
      <c r="G244" s="41" t="s">
        <v>1351</v>
      </c>
    </row>
    <row r="245" spans="1:7" ht="43.2" x14ac:dyDescent="0.3">
      <c r="A245" s="42" t="s">
        <v>124</v>
      </c>
      <c r="B245" s="40" t="str">
        <f>IFERROR(VLOOKUP(A245, Terméklista!I:J, 2, FALSE), "Várom a cikkszámot...")</f>
        <v>Cara Full (M)</v>
      </c>
      <c r="C245" s="44" t="s">
        <v>259</v>
      </c>
      <c r="D245" s="40" t="str">
        <f>IFERROR(VLOOKUP(C245, Terméklista!I:J, 2, FALSE), "Várom a cikkszámot...")</f>
        <v xml:space="preserve">XL-es fejpánt Löwenstein Fullface maszkokhoz (J.ONE /CARA/LENA/J.EASY/J.EASY NEXT) </v>
      </c>
      <c r="E245" s="40" t="s">
        <v>1296</v>
      </c>
      <c r="F245" s="40"/>
      <c r="G245" s="41" t="s">
        <v>1351</v>
      </c>
    </row>
    <row r="246" spans="1:7" ht="43.2" x14ac:dyDescent="0.3">
      <c r="A246" s="42" t="s">
        <v>126</v>
      </c>
      <c r="B246" s="40" t="str">
        <f>IFERROR(VLOOKUP(A246, Terméklista!I:J, 2, FALSE), "Várom a cikkszámot...")</f>
        <v>Cara Full (L)</v>
      </c>
      <c r="C246" s="44" t="s">
        <v>210</v>
      </c>
      <c r="D246" s="40" t="str">
        <f>IFERROR(VLOOKUP(C246, Terméklista!I:J, 2, FALSE), "Várom a cikkszámot...")</f>
        <v>CARA Full maszkpárna S</v>
      </c>
      <c r="E246" s="40" t="s">
        <v>1296</v>
      </c>
      <c r="F246" s="40"/>
      <c r="G246" s="41" t="s">
        <v>1351</v>
      </c>
    </row>
    <row r="247" spans="1:7" ht="43.2" x14ac:dyDescent="0.3">
      <c r="A247" s="42" t="s">
        <v>126</v>
      </c>
      <c r="B247" s="40" t="str">
        <f>IFERROR(VLOOKUP(A247, Terméklista!I:J, 2, FALSE), "Várom a cikkszámot...")</f>
        <v>Cara Full (L)</v>
      </c>
      <c r="C247" s="44" t="s">
        <v>212</v>
      </c>
      <c r="D247" s="40" t="str">
        <f>IFERROR(VLOOKUP(C247, Terméklista!I:J, 2, FALSE), "Várom a cikkszámot...")</f>
        <v>CARA Full maszkpárna M</v>
      </c>
      <c r="E247" s="40" t="s">
        <v>1296</v>
      </c>
      <c r="F247" s="40"/>
      <c r="G247" s="41" t="s">
        <v>1351</v>
      </c>
    </row>
    <row r="248" spans="1:7" ht="43.2" x14ac:dyDescent="0.3">
      <c r="A248" s="42" t="s">
        <v>126</v>
      </c>
      <c r="B248" s="40" t="str">
        <f>IFERROR(VLOOKUP(A248, Terméklista!I:J, 2, FALSE), "Várom a cikkszámot...")</f>
        <v>Cara Full (L)</v>
      </c>
      <c r="C248" s="44" t="s">
        <v>214</v>
      </c>
      <c r="D248" s="40" t="str">
        <f>IFERROR(VLOOKUP(C248, Terméklista!I:J, 2, FALSE), "Várom a cikkszámot...")</f>
        <v>CARA Full maszkpárna L</v>
      </c>
      <c r="E248" s="40" t="s">
        <v>1296</v>
      </c>
      <c r="F248" s="40"/>
      <c r="G248" s="41" t="s">
        <v>1351</v>
      </c>
    </row>
    <row r="249" spans="1:7" ht="43.2" x14ac:dyDescent="0.3">
      <c r="A249" s="42" t="s">
        <v>126</v>
      </c>
      <c r="B249" s="40" t="str">
        <f>IFERROR(VLOOKUP(A249, Terméklista!I:J, 2, FALSE), "Várom a cikkszámot...")</f>
        <v>Cara Full (L)</v>
      </c>
      <c r="C249" s="44" t="s">
        <v>216</v>
      </c>
      <c r="D249" s="40" t="str">
        <f>IFERROR(VLOOKUP(C249, Terméklista!I:J, 2, FALSE), "Várom a cikkszámot...")</f>
        <v>Cara Full maszkpárna XL</v>
      </c>
      <c r="E249" s="40" t="s">
        <v>1296</v>
      </c>
      <c r="F249" s="40"/>
      <c r="G249" s="41" t="s">
        <v>1351</v>
      </c>
    </row>
    <row r="250" spans="1:7" ht="43.2" x14ac:dyDescent="0.3">
      <c r="A250" s="42" t="s">
        <v>126</v>
      </c>
      <c r="B250" s="40" t="str">
        <f>IFERROR(VLOOKUP(A250, Terméklista!I:J, 2, FALSE), "Várom a cikkszámot...")</f>
        <v>Cara Full (L)</v>
      </c>
      <c r="C250" s="44" t="s">
        <v>1036</v>
      </c>
      <c r="D250" s="40" t="str">
        <f>IFERROR(VLOOKUP(C250, Terméklista!I:J, 2, FALSE), "Várom a cikkszámot...")</f>
        <v>CARA FF fejpánt</v>
      </c>
      <c r="E250" s="40" t="s">
        <v>1296</v>
      </c>
      <c r="F250" s="40"/>
      <c r="G250" s="41" t="s">
        <v>1351</v>
      </c>
    </row>
    <row r="251" spans="1:7" ht="43.2" x14ac:dyDescent="0.3">
      <c r="A251" s="42" t="s">
        <v>126</v>
      </c>
      <c r="B251" s="40" t="str">
        <f>IFERROR(VLOOKUP(A251, Terméklista!I:J, 2, FALSE), "Várom a cikkszámot...")</f>
        <v>Cara Full (L)</v>
      </c>
      <c r="C251" s="44" t="s">
        <v>259</v>
      </c>
      <c r="D251" s="40" t="str">
        <f>IFERROR(VLOOKUP(C251, Terméklista!I:J, 2, FALSE), "Várom a cikkszámot...")</f>
        <v xml:space="preserve">XL-es fejpánt Löwenstein Fullface maszkokhoz (J.ONE /CARA/LENA/J.EASY/J.EASY NEXT) </v>
      </c>
      <c r="E251" s="40" t="s">
        <v>1296</v>
      </c>
      <c r="F251" s="40"/>
      <c r="G251" s="41" t="s">
        <v>1351</v>
      </c>
    </row>
    <row r="252" spans="1:7" ht="43.2" x14ac:dyDescent="0.3">
      <c r="A252" s="42" t="s">
        <v>81</v>
      </c>
      <c r="B252" s="40" t="str">
        <f>IFERROR(VLOOKUP(A252, Terméklista!I:J, 2, FALSE), "Várom a cikkszámot...")</f>
        <v>Cara Full (XL)</v>
      </c>
      <c r="C252" s="44" t="s">
        <v>210</v>
      </c>
      <c r="D252" s="40" t="str">
        <f>IFERROR(VLOOKUP(C252, Terméklista!I:J, 2, FALSE), "Várom a cikkszámot...")</f>
        <v>CARA Full maszkpárna S</v>
      </c>
      <c r="E252" s="40" t="s">
        <v>1296</v>
      </c>
      <c r="F252" s="40"/>
      <c r="G252" s="41" t="s">
        <v>1351</v>
      </c>
    </row>
    <row r="253" spans="1:7" ht="43.2" x14ac:dyDescent="0.3">
      <c r="A253" s="42" t="s">
        <v>81</v>
      </c>
      <c r="B253" s="40" t="str">
        <f>IFERROR(VLOOKUP(A253, Terméklista!I:J, 2, FALSE), "Várom a cikkszámot...")</f>
        <v>Cara Full (XL)</v>
      </c>
      <c r="C253" s="44" t="s">
        <v>212</v>
      </c>
      <c r="D253" s="40" t="str">
        <f>IFERROR(VLOOKUP(C253, Terméklista!I:J, 2, FALSE), "Várom a cikkszámot...")</f>
        <v>CARA Full maszkpárna M</v>
      </c>
      <c r="E253" s="40" t="s">
        <v>1296</v>
      </c>
      <c r="F253" s="40"/>
      <c r="G253" s="41" t="s">
        <v>1351</v>
      </c>
    </row>
    <row r="254" spans="1:7" ht="43.2" x14ac:dyDescent="0.3">
      <c r="A254" s="42" t="s">
        <v>81</v>
      </c>
      <c r="B254" s="40" t="str">
        <f>IFERROR(VLOOKUP(A254, Terméklista!I:J, 2, FALSE), "Várom a cikkszámot...")</f>
        <v>Cara Full (XL)</v>
      </c>
      <c r="C254" s="44" t="s">
        <v>214</v>
      </c>
      <c r="D254" s="40" t="str">
        <f>IFERROR(VLOOKUP(C254, Terméklista!I:J, 2, FALSE), "Várom a cikkszámot...")</f>
        <v>CARA Full maszkpárna L</v>
      </c>
      <c r="E254" s="40" t="s">
        <v>1296</v>
      </c>
      <c r="F254" s="40"/>
      <c r="G254" s="41" t="s">
        <v>1351</v>
      </c>
    </row>
    <row r="255" spans="1:7" ht="43.2" x14ac:dyDescent="0.3">
      <c r="A255" s="42" t="s">
        <v>81</v>
      </c>
      <c r="B255" s="40" t="str">
        <f>IFERROR(VLOOKUP(A255, Terméklista!I:J, 2, FALSE), "Várom a cikkszámot...")</f>
        <v>Cara Full (XL)</v>
      </c>
      <c r="C255" s="44" t="s">
        <v>216</v>
      </c>
      <c r="D255" s="40" t="str">
        <f>IFERROR(VLOOKUP(C255, Terméklista!I:J, 2, FALSE), "Várom a cikkszámot...")</f>
        <v>Cara Full maszkpárna XL</v>
      </c>
      <c r="E255" s="40" t="s">
        <v>1296</v>
      </c>
      <c r="F255" s="40"/>
      <c r="G255" s="41" t="s">
        <v>1351</v>
      </c>
    </row>
    <row r="256" spans="1:7" ht="43.2" x14ac:dyDescent="0.3">
      <c r="A256" s="42" t="s">
        <v>81</v>
      </c>
      <c r="B256" s="40" t="str">
        <f>IFERROR(VLOOKUP(A256, Terméklista!I:J, 2, FALSE), "Várom a cikkszámot...")</f>
        <v>Cara Full (XL)</v>
      </c>
      <c r="C256" s="44" t="s">
        <v>1036</v>
      </c>
      <c r="D256" s="40" t="str">
        <f>IFERROR(VLOOKUP(C256, Terméklista!I:J, 2, FALSE), "Várom a cikkszámot...")</f>
        <v>CARA FF fejpánt</v>
      </c>
      <c r="E256" s="40" t="s">
        <v>1296</v>
      </c>
      <c r="F256" s="40"/>
      <c r="G256" s="41" t="s">
        <v>1351</v>
      </c>
    </row>
    <row r="257" spans="1:7" ht="43.2" x14ac:dyDescent="0.3">
      <c r="A257" s="42" t="s">
        <v>81</v>
      </c>
      <c r="B257" s="40" t="str">
        <f>IFERROR(VLOOKUP(A257, Terméklista!I:J, 2, FALSE), "Várom a cikkszámot...")</f>
        <v>Cara Full (XL)</v>
      </c>
      <c r="C257" s="44" t="s">
        <v>259</v>
      </c>
      <c r="D257" s="40" t="str">
        <f>IFERROR(VLOOKUP(C257, Terméklista!I:J, 2, FALSE), "Várom a cikkszámot...")</f>
        <v xml:space="preserve">XL-es fejpánt Löwenstein Fullface maszkokhoz (J.ONE /CARA/LENA/J.EASY/J.EASY NEXT) </v>
      </c>
      <c r="E257" s="40" t="s">
        <v>1296</v>
      </c>
      <c r="F257" s="40"/>
      <c r="G257" s="41" t="s">
        <v>1351</v>
      </c>
    </row>
    <row r="258" spans="1:7" ht="43.2" x14ac:dyDescent="0.3">
      <c r="A258" s="42" t="s">
        <v>130</v>
      </c>
      <c r="B258" s="40" t="str">
        <f>IFERROR(VLOOKUP(A258, Terméklista!I:J, 2, FALSE), "Várom a cikkszámot...")</f>
        <v>JoyceEasy Full (S)</v>
      </c>
      <c r="C258" s="44" t="s">
        <v>130</v>
      </c>
      <c r="D258" s="40" t="str">
        <f>IFERROR(VLOOKUP(C258, Terméklista!I:J, 2, FALSE), "Várom a cikkszámot...")</f>
        <v>JoyceEasy Full (S)</v>
      </c>
      <c r="E258" s="40" t="s">
        <v>1297</v>
      </c>
      <c r="F258" s="40" t="s">
        <v>1274</v>
      </c>
      <c r="G258" s="41" t="s">
        <v>1352</v>
      </c>
    </row>
    <row r="259" spans="1:7" ht="43.2" x14ac:dyDescent="0.3">
      <c r="A259" s="42" t="s">
        <v>130</v>
      </c>
      <c r="B259" s="40" t="str">
        <f>IFERROR(VLOOKUP(A259, Terméklista!I:J, 2, FALSE), "Várom a cikkszámot...")</f>
        <v>JoyceEasy Full (S)</v>
      </c>
      <c r="C259" s="44" t="s">
        <v>132</v>
      </c>
      <c r="D259" s="40" t="str">
        <f>IFERROR(VLOOKUP(C259, Terméklista!I:J, 2, FALSE), "Várom a cikkszámot...")</f>
        <v>JoyceEasy Full (M)</v>
      </c>
      <c r="E259" s="40" t="s">
        <v>1297</v>
      </c>
      <c r="F259" s="40"/>
      <c r="G259" s="41" t="s">
        <v>1352</v>
      </c>
    </row>
    <row r="260" spans="1:7" ht="43.2" x14ac:dyDescent="0.3">
      <c r="A260" s="42" t="s">
        <v>130</v>
      </c>
      <c r="B260" s="40" t="str">
        <f>IFERROR(VLOOKUP(A260, Terméklista!I:J, 2, FALSE), "Várom a cikkszámot...")</f>
        <v>JoyceEasy Full (S)</v>
      </c>
      <c r="C260" s="44" t="s">
        <v>134</v>
      </c>
      <c r="D260" s="40" t="str">
        <f>IFERROR(VLOOKUP(C260, Terméklista!I:J, 2, FALSE), "Várom a cikkszámot...")</f>
        <v>JoyceEasy Full (L)</v>
      </c>
      <c r="E260" s="40" t="s">
        <v>1297</v>
      </c>
      <c r="F260" s="40"/>
      <c r="G260" s="41" t="s">
        <v>1352</v>
      </c>
    </row>
    <row r="261" spans="1:7" ht="43.2" x14ac:dyDescent="0.3">
      <c r="A261" s="42" t="s">
        <v>130</v>
      </c>
      <c r="B261" s="40" t="str">
        <f>IFERROR(VLOOKUP(A261, Terméklista!I:J, 2, FALSE), "Várom a cikkszámot...")</f>
        <v>JoyceEasy Full (S)</v>
      </c>
      <c r="C261" s="44" t="s">
        <v>1037</v>
      </c>
      <c r="D261" s="40" t="str">
        <f>IFERROR(VLOOKUP(C261, Terméklista!I:J, 2, FALSE), "Várom a cikkszámot...")</f>
        <v>JoyceEasy FF fejpánt</v>
      </c>
      <c r="E261" s="40" t="s">
        <v>1297</v>
      </c>
      <c r="F261" s="40"/>
      <c r="G261" s="41" t="s">
        <v>1352</v>
      </c>
    </row>
    <row r="262" spans="1:7" ht="43.2" x14ac:dyDescent="0.3">
      <c r="A262" s="42" t="s">
        <v>132</v>
      </c>
      <c r="B262" s="40" t="str">
        <f>IFERROR(VLOOKUP(A262, Terméklista!I:J, 2, FALSE), "Várom a cikkszámot...")</f>
        <v>JoyceEasy Full (M)</v>
      </c>
      <c r="C262" s="44" t="s">
        <v>130</v>
      </c>
      <c r="D262" s="40" t="str">
        <f>IFERROR(VLOOKUP(C262, Terméklista!I:J, 2, FALSE), "Várom a cikkszámot...")</f>
        <v>JoyceEasy Full (S)</v>
      </c>
      <c r="E262" s="40" t="s">
        <v>1297</v>
      </c>
      <c r="F262" s="40"/>
      <c r="G262" s="41" t="s">
        <v>1352</v>
      </c>
    </row>
    <row r="263" spans="1:7" ht="43.2" x14ac:dyDescent="0.3">
      <c r="A263" s="42" t="s">
        <v>132</v>
      </c>
      <c r="B263" s="40" t="str">
        <f>IFERROR(VLOOKUP(A263, Terméklista!I:J, 2, FALSE), "Várom a cikkszámot...")</f>
        <v>JoyceEasy Full (M)</v>
      </c>
      <c r="C263" s="44" t="s">
        <v>132</v>
      </c>
      <c r="D263" s="40" t="str">
        <f>IFERROR(VLOOKUP(C263, Terméklista!I:J, 2, FALSE), "Várom a cikkszámot...")</f>
        <v>JoyceEasy Full (M)</v>
      </c>
      <c r="E263" s="40" t="s">
        <v>1297</v>
      </c>
      <c r="F263" s="40"/>
      <c r="G263" s="41" t="s">
        <v>1352</v>
      </c>
    </row>
    <row r="264" spans="1:7" ht="43.2" x14ac:dyDescent="0.3">
      <c r="A264" s="42" t="s">
        <v>132</v>
      </c>
      <c r="B264" s="40" t="str">
        <f>IFERROR(VLOOKUP(A264, Terméklista!I:J, 2, FALSE), "Várom a cikkszámot...")</f>
        <v>JoyceEasy Full (M)</v>
      </c>
      <c r="C264" s="44" t="s">
        <v>134</v>
      </c>
      <c r="D264" s="40" t="str">
        <f>IFERROR(VLOOKUP(C264, Terméklista!I:J, 2, FALSE), "Várom a cikkszámot...")</f>
        <v>JoyceEasy Full (L)</v>
      </c>
      <c r="E264" s="40" t="s">
        <v>1297</v>
      </c>
      <c r="F264" s="40"/>
      <c r="G264" s="41" t="s">
        <v>1352</v>
      </c>
    </row>
    <row r="265" spans="1:7" ht="43.2" x14ac:dyDescent="0.3">
      <c r="A265" s="42" t="s">
        <v>132</v>
      </c>
      <c r="B265" s="40" t="str">
        <f>IFERROR(VLOOKUP(A265, Terméklista!I:J, 2, FALSE), "Várom a cikkszámot...")</f>
        <v>JoyceEasy Full (M)</v>
      </c>
      <c r="C265" s="44" t="s">
        <v>1037</v>
      </c>
      <c r="D265" s="40" t="str">
        <f>IFERROR(VLOOKUP(C265, Terméklista!I:J, 2, FALSE), "Várom a cikkszámot...")</f>
        <v>JoyceEasy FF fejpánt</v>
      </c>
      <c r="E265" s="40" t="s">
        <v>1297</v>
      </c>
      <c r="F265" s="40"/>
      <c r="G265" s="41" t="s">
        <v>1352</v>
      </c>
    </row>
    <row r="266" spans="1:7" ht="43.2" x14ac:dyDescent="0.3">
      <c r="A266" s="42" t="s">
        <v>134</v>
      </c>
      <c r="B266" s="40" t="str">
        <f>IFERROR(VLOOKUP(A266, Terméklista!I:J, 2, FALSE), "Várom a cikkszámot...")</f>
        <v>JoyceEasy Full (L)</v>
      </c>
      <c r="C266" s="44" t="s">
        <v>130</v>
      </c>
      <c r="D266" s="40" t="str">
        <f>IFERROR(VLOOKUP(C266, Terméklista!I:J, 2, FALSE), "Várom a cikkszámot...")</f>
        <v>JoyceEasy Full (S)</v>
      </c>
      <c r="E266" s="40" t="s">
        <v>1297</v>
      </c>
      <c r="F266" s="40"/>
      <c r="G266" s="41" t="s">
        <v>1352</v>
      </c>
    </row>
    <row r="267" spans="1:7" ht="43.2" x14ac:dyDescent="0.3">
      <c r="A267" s="42" t="s">
        <v>134</v>
      </c>
      <c r="B267" s="40" t="str">
        <f>IFERROR(VLOOKUP(A267, Terméklista!I:J, 2, FALSE), "Várom a cikkszámot...")</f>
        <v>JoyceEasy Full (L)</v>
      </c>
      <c r="C267" s="44" t="s">
        <v>132</v>
      </c>
      <c r="D267" s="40" t="str">
        <f>IFERROR(VLOOKUP(C267, Terméklista!I:J, 2, FALSE), "Várom a cikkszámot...")</f>
        <v>JoyceEasy Full (M)</v>
      </c>
      <c r="E267" s="40" t="s">
        <v>1297</v>
      </c>
      <c r="F267" s="40"/>
      <c r="G267" s="41" t="s">
        <v>1352</v>
      </c>
    </row>
    <row r="268" spans="1:7" ht="43.2" x14ac:dyDescent="0.3">
      <c r="A268" s="42" t="s">
        <v>134</v>
      </c>
      <c r="B268" s="40" t="str">
        <f>IFERROR(VLOOKUP(A268, Terméklista!I:J, 2, FALSE), "Várom a cikkszámot...")</f>
        <v>JoyceEasy Full (L)</v>
      </c>
      <c r="C268" s="44" t="s">
        <v>134</v>
      </c>
      <c r="D268" s="40" t="str">
        <f>IFERROR(VLOOKUP(C268, Terméklista!I:J, 2, FALSE), "Várom a cikkszámot...")</f>
        <v>JoyceEasy Full (L)</v>
      </c>
      <c r="E268" s="40" t="s">
        <v>1297</v>
      </c>
      <c r="F268" s="40"/>
      <c r="G268" s="41" t="s">
        <v>1352</v>
      </c>
    </row>
    <row r="269" spans="1:7" ht="43.2" x14ac:dyDescent="0.3">
      <c r="A269" s="42" t="s">
        <v>134</v>
      </c>
      <c r="B269" s="40" t="str">
        <f>IFERROR(VLOOKUP(A269, Terméklista!I:J, 2, FALSE), "Várom a cikkszámot...")</f>
        <v>JoyceEasy Full (L)</v>
      </c>
      <c r="C269" s="44" t="s">
        <v>1037</v>
      </c>
      <c r="D269" s="40" t="str">
        <f>IFERROR(VLOOKUP(C269, Terméklista!I:J, 2, FALSE), "Várom a cikkszámot...")</f>
        <v>JoyceEasy FF fejpánt</v>
      </c>
      <c r="E269" s="40" t="s">
        <v>1297</v>
      </c>
      <c r="F269" s="40"/>
      <c r="G269" s="41" t="s">
        <v>1352</v>
      </c>
    </row>
    <row r="270" spans="1:7" ht="43.2" x14ac:dyDescent="0.3">
      <c r="A270" s="42" t="s">
        <v>136</v>
      </c>
      <c r="B270" s="40" t="str">
        <f>IFERROR(VLOOKUP(A270, Terméklista!I:J, 2, FALSE), "Várom a cikkszámot...")</f>
        <v>JoyceEasy Next Full (S)</v>
      </c>
      <c r="C270" s="44" t="s">
        <v>230</v>
      </c>
      <c r="D270" s="40" t="str">
        <f>IFERROR(VLOOKUP(C270, Terméklista!I:J, 2, FALSE), "Várom a cikkszámot...")</f>
        <v>JoyceEasy Next Full (S) maszkpárna</v>
      </c>
      <c r="E270" s="40" t="s">
        <v>1299</v>
      </c>
      <c r="F270" s="40"/>
      <c r="G270" s="41" t="s">
        <v>1353</v>
      </c>
    </row>
    <row r="271" spans="1:7" ht="43.2" x14ac:dyDescent="0.3">
      <c r="A271" s="42" t="s">
        <v>136</v>
      </c>
      <c r="B271" s="40" t="str">
        <f>IFERROR(VLOOKUP(A271, Terméklista!I:J, 2, FALSE), "Várom a cikkszámot...")</f>
        <v>JoyceEasy Next Full (S)</v>
      </c>
      <c r="C271" s="44" t="s">
        <v>232</v>
      </c>
      <c r="D271" s="40" t="str">
        <f>IFERROR(VLOOKUP(C271, Terméklista!I:J, 2, FALSE), "Várom a cikkszámot...")</f>
        <v>JoyceEasy Next Full (M) maszkpárna</v>
      </c>
      <c r="E271" s="40" t="s">
        <v>1299</v>
      </c>
      <c r="F271" s="40"/>
      <c r="G271" s="41" t="s">
        <v>1353</v>
      </c>
    </row>
    <row r="272" spans="1:7" ht="43.2" x14ac:dyDescent="0.3">
      <c r="A272" s="42" t="s">
        <v>136</v>
      </c>
      <c r="B272" s="40" t="str">
        <f>IFERROR(VLOOKUP(A272, Terméklista!I:J, 2, FALSE), "Várom a cikkszámot...")</f>
        <v>JoyceEasy Next Full (S)</v>
      </c>
      <c r="C272" s="44" t="s">
        <v>234</v>
      </c>
      <c r="D272" s="40" t="str">
        <f>IFERROR(VLOOKUP(C272, Terméklista!I:J, 2, FALSE), "Várom a cikkszámot...")</f>
        <v>JoyceEasy Next Full (L) maszkpárna</v>
      </c>
      <c r="E272" s="40" t="s">
        <v>1299</v>
      </c>
      <c r="F272" s="40"/>
      <c r="G272" s="41" t="s">
        <v>1353</v>
      </c>
    </row>
    <row r="273" spans="1:7" ht="43.2" x14ac:dyDescent="0.3">
      <c r="A273" s="42" t="s">
        <v>136</v>
      </c>
      <c r="B273" s="40" t="str">
        <f>IFERROR(VLOOKUP(A273, Terméklista!I:J, 2, FALSE), "Várom a cikkszámot...")</f>
        <v>JoyceEasy Next Full (S)</v>
      </c>
      <c r="C273" s="44" t="s">
        <v>1038</v>
      </c>
      <c r="D273" s="40" t="str">
        <f>IFERROR(VLOOKUP(C273, Terméklista!I:J, 2, FALSE), "Várom a cikkszámot...")</f>
        <v>JoyceEasy NEXT FF fejpánt</v>
      </c>
      <c r="E273" s="40" t="s">
        <v>1299</v>
      </c>
      <c r="F273" s="40"/>
      <c r="G273" s="41" t="s">
        <v>1353</v>
      </c>
    </row>
    <row r="274" spans="1:7" ht="43.2" x14ac:dyDescent="0.3">
      <c r="A274" s="42" t="s">
        <v>138</v>
      </c>
      <c r="B274" s="40" t="str">
        <f>IFERROR(VLOOKUP(A274, Terméklista!I:J, 2, FALSE), "Várom a cikkszámot...")</f>
        <v>JoyceEasy Next Full (M)</v>
      </c>
      <c r="C274" s="44" t="s">
        <v>230</v>
      </c>
      <c r="D274" s="40" t="str">
        <f>IFERROR(VLOOKUP(C274, Terméklista!I:J, 2, FALSE), "Várom a cikkszámot...")</f>
        <v>JoyceEasy Next Full (S) maszkpárna</v>
      </c>
      <c r="E274" s="40" t="s">
        <v>1299</v>
      </c>
      <c r="F274" s="40"/>
      <c r="G274" s="41" t="s">
        <v>1353</v>
      </c>
    </row>
    <row r="275" spans="1:7" ht="43.2" x14ac:dyDescent="0.3">
      <c r="A275" s="42" t="s">
        <v>138</v>
      </c>
      <c r="B275" s="40" t="str">
        <f>IFERROR(VLOOKUP(A275, Terméklista!I:J, 2, FALSE), "Várom a cikkszámot...")</f>
        <v>JoyceEasy Next Full (M)</v>
      </c>
      <c r="C275" s="44" t="s">
        <v>232</v>
      </c>
      <c r="D275" s="40" t="str">
        <f>IFERROR(VLOOKUP(C275, Terméklista!I:J, 2, FALSE), "Várom a cikkszámot...")</f>
        <v>JoyceEasy Next Full (M) maszkpárna</v>
      </c>
      <c r="E275" s="40" t="s">
        <v>1299</v>
      </c>
      <c r="F275" s="40"/>
      <c r="G275" s="41" t="s">
        <v>1353</v>
      </c>
    </row>
    <row r="276" spans="1:7" ht="43.2" x14ac:dyDescent="0.3">
      <c r="A276" s="42" t="s">
        <v>138</v>
      </c>
      <c r="B276" s="40" t="str">
        <f>IFERROR(VLOOKUP(A276, Terméklista!I:J, 2, FALSE), "Várom a cikkszámot...")</f>
        <v>JoyceEasy Next Full (M)</v>
      </c>
      <c r="C276" s="44" t="s">
        <v>234</v>
      </c>
      <c r="D276" s="40" t="str">
        <f>IFERROR(VLOOKUP(C276, Terméklista!I:J, 2, FALSE), "Várom a cikkszámot...")</f>
        <v>JoyceEasy Next Full (L) maszkpárna</v>
      </c>
      <c r="E276" s="40" t="s">
        <v>1299</v>
      </c>
      <c r="F276" s="40"/>
      <c r="G276" s="41" t="s">
        <v>1353</v>
      </c>
    </row>
    <row r="277" spans="1:7" ht="43.2" x14ac:dyDescent="0.3">
      <c r="A277" s="42" t="s">
        <v>138</v>
      </c>
      <c r="B277" s="40" t="str">
        <f>IFERROR(VLOOKUP(A277, Terméklista!I:J, 2, FALSE), "Várom a cikkszámot...")</f>
        <v>JoyceEasy Next Full (M)</v>
      </c>
      <c r="C277" s="44" t="s">
        <v>1038</v>
      </c>
      <c r="D277" s="40" t="str">
        <f>IFERROR(VLOOKUP(C277, Terméklista!I:J, 2, FALSE), "Várom a cikkszámot...")</f>
        <v>JoyceEasy NEXT FF fejpánt</v>
      </c>
      <c r="E277" s="40" t="s">
        <v>1299</v>
      </c>
      <c r="F277" s="40"/>
      <c r="G277" s="41" t="s">
        <v>1353</v>
      </c>
    </row>
    <row r="278" spans="1:7" ht="43.2" x14ac:dyDescent="0.3">
      <c r="A278" s="42" t="s">
        <v>140</v>
      </c>
      <c r="B278" s="40" t="str">
        <f>IFERROR(VLOOKUP(A278, Terméklista!I:J, 2, FALSE), "Várom a cikkszámot...")</f>
        <v>JoyceEasy Next Full (L)</v>
      </c>
      <c r="C278" s="44" t="s">
        <v>230</v>
      </c>
      <c r="D278" s="40" t="str">
        <f>IFERROR(VLOOKUP(C278, Terméklista!I:J, 2, FALSE), "Várom a cikkszámot...")</f>
        <v>JoyceEasy Next Full (S) maszkpárna</v>
      </c>
      <c r="E278" s="40" t="s">
        <v>1299</v>
      </c>
      <c r="F278" s="40"/>
      <c r="G278" s="41" t="s">
        <v>1353</v>
      </c>
    </row>
    <row r="279" spans="1:7" ht="43.2" x14ac:dyDescent="0.3">
      <c r="A279" s="42" t="s">
        <v>140</v>
      </c>
      <c r="B279" s="40" t="str">
        <f>IFERROR(VLOOKUP(A279, Terméklista!I:J, 2, FALSE), "Várom a cikkszámot...")</f>
        <v>JoyceEasy Next Full (L)</v>
      </c>
      <c r="C279" s="44" t="s">
        <v>232</v>
      </c>
      <c r="D279" s="40" t="str">
        <f>IFERROR(VLOOKUP(C279, Terméklista!I:J, 2, FALSE), "Várom a cikkszámot...")</f>
        <v>JoyceEasy Next Full (M) maszkpárna</v>
      </c>
      <c r="E279" s="40" t="s">
        <v>1299</v>
      </c>
      <c r="F279" s="40"/>
      <c r="G279" s="41" t="s">
        <v>1353</v>
      </c>
    </row>
    <row r="280" spans="1:7" ht="43.2" x14ac:dyDescent="0.3">
      <c r="A280" s="42" t="s">
        <v>140</v>
      </c>
      <c r="B280" s="40" t="str">
        <f>IFERROR(VLOOKUP(A280, Terméklista!I:J, 2, FALSE), "Várom a cikkszámot...")</f>
        <v>JoyceEasy Next Full (L)</v>
      </c>
      <c r="C280" s="44" t="s">
        <v>234</v>
      </c>
      <c r="D280" s="40" t="str">
        <f>IFERROR(VLOOKUP(C280, Terméklista!I:J, 2, FALSE), "Várom a cikkszámot...")</f>
        <v>JoyceEasy Next Full (L) maszkpárna</v>
      </c>
      <c r="E280" s="40" t="s">
        <v>1299</v>
      </c>
      <c r="F280" s="40"/>
      <c r="G280" s="41" t="s">
        <v>1353</v>
      </c>
    </row>
    <row r="281" spans="1:7" ht="43.2" x14ac:dyDescent="0.3">
      <c r="A281" s="42" t="s">
        <v>140</v>
      </c>
      <c r="B281" s="40" t="str">
        <f>IFERROR(VLOOKUP(A281, Terméklista!I:J, 2, FALSE), "Várom a cikkszámot...")</f>
        <v>JoyceEasy Next Full (L)</v>
      </c>
      <c r="C281" s="44" t="s">
        <v>1038</v>
      </c>
      <c r="D281" s="40" t="str">
        <f>IFERROR(VLOOKUP(C281, Terméklista!I:J, 2, FALSE), "Várom a cikkszámot...")</f>
        <v>JoyceEasy NEXT FF fejpánt</v>
      </c>
      <c r="E281" s="40" t="s">
        <v>1299</v>
      </c>
      <c r="F281" s="40"/>
      <c r="G281" s="41" t="s">
        <v>1353</v>
      </c>
    </row>
    <row r="282" spans="1:7" ht="43.2" x14ac:dyDescent="0.3">
      <c r="A282" s="42" t="s">
        <v>142</v>
      </c>
      <c r="B282" s="40" t="str">
        <f>IFERROR(VLOOKUP(A282, Terméklista!I:J, 2, FALSE), "Várom a cikkszámot...")</f>
        <v>Joyce ONE Full</v>
      </c>
      <c r="C282" s="44" t="s">
        <v>1298</v>
      </c>
      <c r="D282" s="40" t="str">
        <f>IFERROR(VLOOKUP(C282, Terméklista!I:J, 2, FALSE), "Várom a cikkszámot...")</f>
        <v>Joyce ONE Full maszkpárna</v>
      </c>
      <c r="E282" s="40" t="s">
        <v>1300</v>
      </c>
      <c r="F282" s="40"/>
      <c r="G282" s="41" t="s">
        <v>1354</v>
      </c>
    </row>
    <row r="283" spans="1:7" ht="43.2" x14ac:dyDescent="0.3">
      <c r="A283" s="42" t="s">
        <v>142</v>
      </c>
      <c r="B283" s="40" t="str">
        <f>IFERROR(VLOOKUP(A283, Terméklista!I:J, 2, FALSE), "Várom a cikkszámot...")</f>
        <v>Joyce ONE Full</v>
      </c>
      <c r="C283" s="44" t="s">
        <v>1039</v>
      </c>
      <c r="D283" s="40" t="str">
        <f>IFERROR(VLOOKUP(C283, Terméklista!I:J, 2, FALSE), "Várom a cikkszámot...")</f>
        <v>Joyce ONE FF fejpánt</v>
      </c>
      <c r="E283" s="40" t="s">
        <v>1300</v>
      </c>
      <c r="F283" s="40"/>
      <c r="G283" s="41" t="s">
        <v>1354</v>
      </c>
    </row>
    <row r="284" spans="1:7" ht="43.2" x14ac:dyDescent="0.3">
      <c r="A284" s="42" t="s">
        <v>144</v>
      </c>
      <c r="B284" s="40" t="str">
        <f>IFERROR(VLOOKUP(A284, Terméklista!I:J, 2, FALSE), "Várom a cikkszámot...")</f>
        <v>Lena Full (S)</v>
      </c>
      <c r="C284" s="44" t="s">
        <v>218</v>
      </c>
      <c r="D284" s="40" t="str">
        <f>IFERROR(VLOOKUP(C284, Terméklista!I:J, 2, FALSE), "Várom a cikkszámot...")</f>
        <v>LENA maszkpárna S</v>
      </c>
      <c r="E284" s="40" t="s">
        <v>1311</v>
      </c>
      <c r="F284" s="40"/>
      <c r="G284" s="41" t="s">
        <v>1355</v>
      </c>
    </row>
    <row r="285" spans="1:7" ht="43.2" x14ac:dyDescent="0.3">
      <c r="A285" s="42" t="s">
        <v>1301</v>
      </c>
      <c r="B285" s="40" t="str">
        <f>IFERROR(VLOOKUP(A285, Terméklista!I:J, 2, FALSE), "Várom a cikkszámot...")</f>
        <v>Várom a cikkszámot...</v>
      </c>
      <c r="C285" s="44" t="s">
        <v>220</v>
      </c>
      <c r="D285" s="40" t="str">
        <f>IFERROR(VLOOKUP(C285, Terméklista!I:J, 2, FALSE), "Várom a cikkszámot...")</f>
        <v>LENA maszkpárna M</v>
      </c>
      <c r="E285" s="40" t="s">
        <v>1311</v>
      </c>
      <c r="F285" s="40"/>
      <c r="G285" s="41" t="s">
        <v>1355</v>
      </c>
    </row>
    <row r="286" spans="1:7" ht="43.2" x14ac:dyDescent="0.3">
      <c r="A286" s="42" t="s">
        <v>1302</v>
      </c>
      <c r="B286" s="40" t="str">
        <f>IFERROR(VLOOKUP(A286, Terméklista!I:J, 2, FALSE), "Várom a cikkszámot...")</f>
        <v>Várom a cikkszámot...</v>
      </c>
      <c r="C286" s="44" t="s">
        <v>222</v>
      </c>
      <c r="D286" s="40" t="str">
        <f>IFERROR(VLOOKUP(C286, Terméklista!I:J, 2, FALSE), "Várom a cikkszámot...")</f>
        <v>LENA maszkpárna L</v>
      </c>
      <c r="E286" s="40" t="s">
        <v>1311</v>
      </c>
      <c r="F286" s="40"/>
      <c r="G286" s="41" t="s">
        <v>1355</v>
      </c>
    </row>
    <row r="287" spans="1:7" ht="43.2" x14ac:dyDescent="0.3">
      <c r="A287" s="42" t="s">
        <v>1303</v>
      </c>
      <c r="B287" s="40" t="str">
        <f>IFERROR(VLOOKUP(A287, Terméklista!I:J, 2, FALSE), "Várom a cikkszámot...")</f>
        <v>Várom a cikkszámot...</v>
      </c>
      <c r="C287" s="44" t="s">
        <v>283</v>
      </c>
      <c r="D287" s="40" t="str">
        <f>IFERROR(VLOOKUP(C287, Terméklista!I:J, 2, FALSE), "Várom a cikkszámot...")</f>
        <v>LENA fejpánt</v>
      </c>
      <c r="E287" s="40" t="s">
        <v>1311</v>
      </c>
      <c r="F287" s="40"/>
      <c r="G287" s="41" t="s">
        <v>1355</v>
      </c>
    </row>
    <row r="288" spans="1:7" ht="43.2" x14ac:dyDescent="0.3">
      <c r="A288" s="42" t="s">
        <v>1304</v>
      </c>
      <c r="B288" s="40" t="str">
        <f>IFERROR(VLOOKUP(A288, Terméklista!I:J, 2, FALSE), "Várom a cikkszámot...")</f>
        <v>Várom a cikkszámot...</v>
      </c>
      <c r="C288" s="44" t="s">
        <v>218</v>
      </c>
      <c r="D288" s="40" t="str">
        <f>IFERROR(VLOOKUP(C288, Terméklista!I:J, 2, FALSE), "Várom a cikkszámot...")</f>
        <v>LENA maszkpárna S</v>
      </c>
      <c r="E288" s="40" t="s">
        <v>1311</v>
      </c>
      <c r="F288" s="40"/>
      <c r="G288" s="41" t="s">
        <v>1355</v>
      </c>
    </row>
    <row r="289" spans="1:7" ht="43.2" x14ac:dyDescent="0.3">
      <c r="A289" s="42" t="s">
        <v>1305</v>
      </c>
      <c r="B289" s="40" t="str">
        <f>IFERROR(VLOOKUP(A289, Terméklista!I:J, 2, FALSE), "Várom a cikkszámot...")</f>
        <v>Várom a cikkszámot...</v>
      </c>
      <c r="C289" s="44" t="s">
        <v>220</v>
      </c>
      <c r="D289" s="40" t="str">
        <f>IFERROR(VLOOKUP(C289, Terméklista!I:J, 2, FALSE), "Várom a cikkszámot...")</f>
        <v>LENA maszkpárna M</v>
      </c>
      <c r="E289" s="40" t="s">
        <v>1311</v>
      </c>
      <c r="F289" s="40"/>
      <c r="G289" s="41" t="s">
        <v>1355</v>
      </c>
    </row>
    <row r="290" spans="1:7" ht="43.2" x14ac:dyDescent="0.3">
      <c r="A290" s="42" t="s">
        <v>1306</v>
      </c>
      <c r="B290" s="40" t="str">
        <f>IFERROR(VLOOKUP(A290, Terméklista!I:J, 2, FALSE), "Várom a cikkszámot...")</f>
        <v>Várom a cikkszámot...</v>
      </c>
      <c r="C290" s="44" t="s">
        <v>222</v>
      </c>
      <c r="D290" s="40" t="str">
        <f>IFERROR(VLOOKUP(C290, Terméklista!I:J, 2, FALSE), "Várom a cikkszámot...")</f>
        <v>LENA maszkpárna L</v>
      </c>
      <c r="E290" s="40" t="s">
        <v>1311</v>
      </c>
      <c r="F290" s="40"/>
      <c r="G290" s="41" t="s">
        <v>1355</v>
      </c>
    </row>
    <row r="291" spans="1:7" ht="43.2" x14ac:dyDescent="0.3">
      <c r="A291" s="42" t="s">
        <v>1307</v>
      </c>
      <c r="B291" s="40" t="str">
        <f>IFERROR(VLOOKUP(A291, Terméklista!I:J, 2, FALSE), "Várom a cikkszámot...")</f>
        <v>Várom a cikkszámot...</v>
      </c>
      <c r="C291" s="44" t="s">
        <v>283</v>
      </c>
      <c r="D291" s="40" t="str">
        <f>IFERROR(VLOOKUP(C291, Terméklista!I:J, 2, FALSE), "Várom a cikkszámot...")</f>
        <v>LENA fejpánt</v>
      </c>
      <c r="E291" s="40" t="s">
        <v>1311</v>
      </c>
      <c r="F291" s="40"/>
      <c r="G291" s="41" t="s">
        <v>1355</v>
      </c>
    </row>
    <row r="292" spans="1:7" ht="43.2" x14ac:dyDescent="0.3">
      <c r="A292" s="42" t="s">
        <v>1308</v>
      </c>
      <c r="B292" s="40" t="str">
        <f>IFERROR(VLOOKUP(A292, Terméklista!I:J, 2, FALSE), "Várom a cikkszámot...")</f>
        <v>Várom a cikkszámot...</v>
      </c>
      <c r="C292" s="44" t="s">
        <v>218</v>
      </c>
      <c r="D292" s="40" t="str">
        <f>IFERROR(VLOOKUP(C292, Terméklista!I:J, 2, FALSE), "Várom a cikkszámot...")</f>
        <v>LENA maszkpárna S</v>
      </c>
      <c r="E292" s="40" t="s">
        <v>1311</v>
      </c>
      <c r="F292" s="40"/>
      <c r="G292" s="41" t="s">
        <v>1355</v>
      </c>
    </row>
    <row r="293" spans="1:7" ht="43.2" x14ac:dyDescent="0.3">
      <c r="A293" s="42" t="s">
        <v>1309</v>
      </c>
      <c r="B293" s="40" t="str">
        <f>IFERROR(VLOOKUP(A293, Terméklista!I:J, 2, FALSE), "Várom a cikkszámot...")</f>
        <v>Várom a cikkszámot...</v>
      </c>
      <c r="C293" s="44" t="s">
        <v>220</v>
      </c>
      <c r="D293" s="40" t="str">
        <f>IFERROR(VLOOKUP(C293, Terméklista!I:J, 2, FALSE), "Várom a cikkszámot...")</f>
        <v>LENA maszkpárna M</v>
      </c>
      <c r="E293" s="40" t="s">
        <v>1311</v>
      </c>
      <c r="F293" s="40"/>
      <c r="G293" s="41" t="s">
        <v>1355</v>
      </c>
    </row>
    <row r="294" spans="1:7" ht="43.2" x14ac:dyDescent="0.3">
      <c r="A294" s="42" t="s">
        <v>147</v>
      </c>
      <c r="B294" s="40" t="str">
        <f>IFERROR(VLOOKUP(A294, Terméklista!I:J, 2, FALSE), "Várom a cikkszámot...")</f>
        <v>Lena Full (M)</v>
      </c>
      <c r="C294" s="44" t="s">
        <v>222</v>
      </c>
      <c r="D294" s="40" t="str">
        <f>IFERROR(VLOOKUP(C294, Terméklista!I:J, 2, FALSE), "Várom a cikkszámot...")</f>
        <v>LENA maszkpárna L</v>
      </c>
      <c r="E294" s="40" t="s">
        <v>1311</v>
      </c>
      <c r="F294" s="40"/>
      <c r="G294" s="41" t="s">
        <v>1355</v>
      </c>
    </row>
    <row r="295" spans="1:7" ht="43.2" x14ac:dyDescent="0.3">
      <c r="A295" s="42" t="s">
        <v>1310</v>
      </c>
      <c r="B295" s="40" t="str">
        <f>IFERROR(VLOOKUP(A295, Terméklista!I:J, 2, FALSE), "Várom a cikkszámot...")</f>
        <v>Várom a cikkszámot...</v>
      </c>
      <c r="C295" s="44" t="s">
        <v>283</v>
      </c>
      <c r="D295" s="40" t="str">
        <f>IFERROR(VLOOKUP(C295, Terméklista!I:J, 2, FALSE), "Várom a cikkszámot...")</f>
        <v>LENA fejpánt</v>
      </c>
      <c r="E295" s="40" t="s">
        <v>1311</v>
      </c>
      <c r="F295" s="40"/>
      <c r="G295" s="41" t="s">
        <v>1355</v>
      </c>
    </row>
    <row r="296" spans="1:7" ht="43.2" x14ac:dyDescent="0.3">
      <c r="A296" s="44">
        <v>1090221</v>
      </c>
      <c r="B296" s="40" t="str">
        <f>IFERROR(VLOOKUP(A296, Terméklista!I:J, 2, FALSE), "Várom a cikkszámot...")</f>
        <v>Amara (S)</v>
      </c>
      <c r="C296" s="44">
        <v>1090292</v>
      </c>
      <c r="D296" s="40" t="str">
        <f>IFERROR(VLOOKUP(C296, Terméklista!I:J, 2, FALSE), "Várom a cikkszámot...")</f>
        <v>Amara maszkpárna S</v>
      </c>
      <c r="E296" s="40" t="s">
        <v>1314</v>
      </c>
      <c r="F296" s="40" t="s">
        <v>1274</v>
      </c>
      <c r="G296" s="41" t="s">
        <v>1356</v>
      </c>
    </row>
    <row r="297" spans="1:7" ht="43.2" x14ac:dyDescent="0.3">
      <c r="A297" s="44">
        <v>1090221</v>
      </c>
      <c r="B297" s="40" t="str">
        <f>IFERROR(VLOOKUP(A297, Terméklista!I:J, 2, FALSE), "Várom a cikkszámot...")</f>
        <v>Amara (S)</v>
      </c>
      <c r="C297" s="44">
        <v>1090293</v>
      </c>
      <c r="D297" s="40" t="str">
        <f>IFERROR(VLOOKUP(C297, Terméklista!I:J, 2, FALSE), "Várom a cikkszámot...")</f>
        <v>Amara maszkpárna M</v>
      </c>
      <c r="E297" s="40" t="s">
        <v>1314</v>
      </c>
      <c r="F297" s="40"/>
      <c r="G297" s="41" t="s">
        <v>1356</v>
      </c>
    </row>
    <row r="298" spans="1:7" ht="43.2" x14ac:dyDescent="0.3">
      <c r="A298" s="44">
        <v>1090221</v>
      </c>
      <c r="B298" s="40" t="str">
        <f>IFERROR(VLOOKUP(A298, Terméklista!I:J, 2, FALSE), "Várom a cikkszámot...")</f>
        <v>Amara (S)</v>
      </c>
      <c r="C298" s="44">
        <v>1090294</v>
      </c>
      <c r="D298" s="40" t="str">
        <f>IFERROR(VLOOKUP(C298, Terméklista!I:J, 2, FALSE), "Várom a cikkszámot...")</f>
        <v>Amara maszkpárna L</v>
      </c>
      <c r="E298" s="40" t="s">
        <v>1314</v>
      </c>
      <c r="F298" s="40"/>
      <c r="G298" s="41" t="s">
        <v>1356</v>
      </c>
    </row>
    <row r="299" spans="1:7" ht="43.2" x14ac:dyDescent="0.3">
      <c r="A299" s="44">
        <v>1090221</v>
      </c>
      <c r="B299" s="40" t="str">
        <f>IFERROR(VLOOKUP(A299, Terméklista!I:J, 2, FALSE), "Várom a cikkszámot...")</f>
        <v>Amara (S)</v>
      </c>
      <c r="C299" s="44">
        <v>1090492</v>
      </c>
      <c r="D299" s="40" t="str">
        <f>IFERROR(VLOOKUP(C299, Terméklista!I:J, 2, FALSE), "Várom a cikkszámot...")</f>
        <v xml:space="preserve">Amara Gel maszkpárna S </v>
      </c>
      <c r="E299" s="40" t="s">
        <v>1314</v>
      </c>
      <c r="F299" s="40"/>
      <c r="G299" s="41" t="s">
        <v>1356</v>
      </c>
    </row>
    <row r="300" spans="1:7" ht="43.2" x14ac:dyDescent="0.3">
      <c r="A300" s="44">
        <v>1090221</v>
      </c>
      <c r="B300" s="40" t="str">
        <f>IFERROR(VLOOKUP(A300, Terméklista!I:J, 2, FALSE), "Várom a cikkszámot...")</f>
        <v>Amara (S)</v>
      </c>
      <c r="C300" s="44">
        <v>1090493</v>
      </c>
      <c r="D300" s="40" t="str">
        <f>IFERROR(VLOOKUP(C300, Terméklista!I:J, 2, FALSE), "Várom a cikkszámot...")</f>
        <v xml:space="preserve">Amara Gel maszkpárna M </v>
      </c>
      <c r="E300" s="40" t="s">
        <v>1314</v>
      </c>
      <c r="F300" s="40"/>
      <c r="G300" s="41" t="s">
        <v>1356</v>
      </c>
    </row>
    <row r="301" spans="1:7" ht="43.2" x14ac:dyDescent="0.3">
      <c r="A301" s="44">
        <v>1090221</v>
      </c>
      <c r="B301" s="40" t="str">
        <f>IFERROR(VLOOKUP(A301, Terméklista!I:J, 2, FALSE), "Várom a cikkszámot...")</f>
        <v>Amara (S)</v>
      </c>
      <c r="C301" s="44">
        <v>1090494</v>
      </c>
      <c r="D301" s="40" t="str">
        <f>IFERROR(VLOOKUP(C301, Terméklista!I:J, 2, FALSE), "Várom a cikkszámot...")</f>
        <v>Amara Gel maszkpárna L</v>
      </c>
      <c r="E301" s="40" t="s">
        <v>1314</v>
      </c>
      <c r="F301" s="40"/>
      <c r="G301" s="41" t="s">
        <v>1356</v>
      </c>
    </row>
    <row r="302" spans="1:7" ht="43.2" x14ac:dyDescent="0.3">
      <c r="A302" s="44">
        <v>1090221</v>
      </c>
      <c r="B302" s="40" t="str">
        <f>IFERROR(VLOOKUP(A302, Terméklista!I:J, 2, FALSE), "Várom a cikkszámot...")</f>
        <v>Amara (S)</v>
      </c>
      <c r="C302" s="44">
        <v>1090297</v>
      </c>
      <c r="D302" s="40" t="str">
        <f>IFERROR(VLOOKUP(C302, Terméklista!I:J, 2, FALSE), "Várom a cikkszámot...")</f>
        <v>Amara fejpánt standard</v>
      </c>
      <c r="E302" s="40" t="s">
        <v>1314</v>
      </c>
      <c r="F302" s="40"/>
      <c r="G302" s="41" t="s">
        <v>1356</v>
      </c>
    </row>
    <row r="303" spans="1:7" ht="43.2" x14ac:dyDescent="0.3">
      <c r="A303" s="44">
        <v>1090225</v>
      </c>
      <c r="B303" s="40" t="str">
        <f>IFERROR(VLOOKUP(A303, Terméklista!I:J, 2, FALSE), "Várom a cikkszámot...")</f>
        <v>Amara (M)</v>
      </c>
      <c r="C303" s="44">
        <v>1090292</v>
      </c>
      <c r="D303" s="40" t="str">
        <f>IFERROR(VLOOKUP(C303, Terméklista!I:J, 2, FALSE), "Várom a cikkszámot...")</f>
        <v>Amara maszkpárna S</v>
      </c>
      <c r="E303" s="40" t="s">
        <v>1314</v>
      </c>
      <c r="F303" s="40"/>
      <c r="G303" s="41" t="s">
        <v>1356</v>
      </c>
    </row>
    <row r="304" spans="1:7" ht="43.2" x14ac:dyDescent="0.3">
      <c r="A304" s="44">
        <v>1090225</v>
      </c>
      <c r="B304" s="40" t="str">
        <f>IFERROR(VLOOKUP(A304, Terméklista!I:J, 2, FALSE), "Várom a cikkszámot...")</f>
        <v>Amara (M)</v>
      </c>
      <c r="C304" s="44">
        <v>1090293</v>
      </c>
      <c r="D304" s="40" t="str">
        <f>IFERROR(VLOOKUP(C304, Terméklista!I:J, 2, FALSE), "Várom a cikkszámot...")</f>
        <v>Amara maszkpárna M</v>
      </c>
      <c r="E304" s="40" t="s">
        <v>1314</v>
      </c>
      <c r="F304" s="40"/>
      <c r="G304" s="41" t="s">
        <v>1356</v>
      </c>
    </row>
    <row r="305" spans="1:7" ht="43.2" x14ac:dyDescent="0.3">
      <c r="A305" s="44">
        <v>1090225</v>
      </c>
      <c r="B305" s="40" t="str">
        <f>IFERROR(VLOOKUP(A305, Terméklista!I:J, 2, FALSE), "Várom a cikkszámot...")</f>
        <v>Amara (M)</v>
      </c>
      <c r="C305" s="44">
        <v>1090294</v>
      </c>
      <c r="D305" s="40" t="str">
        <f>IFERROR(VLOOKUP(C305, Terméklista!I:J, 2, FALSE), "Várom a cikkszámot...")</f>
        <v>Amara maszkpárna L</v>
      </c>
      <c r="E305" s="40" t="s">
        <v>1314</v>
      </c>
      <c r="F305" s="40"/>
      <c r="G305" s="41" t="s">
        <v>1356</v>
      </c>
    </row>
    <row r="306" spans="1:7" ht="43.2" x14ac:dyDescent="0.3">
      <c r="A306" s="44">
        <v>1090225</v>
      </c>
      <c r="B306" s="40" t="str">
        <f>IFERROR(VLOOKUP(A306, Terméklista!I:J, 2, FALSE), "Várom a cikkszámot...")</f>
        <v>Amara (M)</v>
      </c>
      <c r="C306" s="44">
        <v>1090492</v>
      </c>
      <c r="D306" s="40" t="str">
        <f>IFERROR(VLOOKUP(C306, Terméklista!I:J, 2, FALSE), "Várom a cikkszámot...")</f>
        <v xml:space="preserve">Amara Gel maszkpárna S </v>
      </c>
      <c r="E306" s="40" t="s">
        <v>1314</v>
      </c>
      <c r="F306" s="40"/>
      <c r="G306" s="41" t="s">
        <v>1356</v>
      </c>
    </row>
    <row r="307" spans="1:7" ht="43.2" x14ac:dyDescent="0.3">
      <c r="A307" s="44">
        <v>1090225</v>
      </c>
      <c r="B307" s="40" t="str">
        <f>IFERROR(VLOOKUP(A307, Terméklista!I:J, 2, FALSE), "Várom a cikkszámot...")</f>
        <v>Amara (M)</v>
      </c>
      <c r="C307" s="44">
        <v>1090493</v>
      </c>
      <c r="D307" s="40" t="str">
        <f>IFERROR(VLOOKUP(C307, Terméklista!I:J, 2, FALSE), "Várom a cikkszámot...")</f>
        <v xml:space="preserve">Amara Gel maszkpárna M </v>
      </c>
      <c r="E307" s="40" t="s">
        <v>1314</v>
      </c>
      <c r="F307" s="40"/>
      <c r="G307" s="41" t="s">
        <v>1356</v>
      </c>
    </row>
    <row r="308" spans="1:7" ht="43.2" x14ac:dyDescent="0.3">
      <c r="A308" s="44">
        <v>1090225</v>
      </c>
      <c r="B308" s="40" t="str">
        <f>IFERROR(VLOOKUP(A308, Terméklista!I:J, 2, FALSE), "Várom a cikkszámot...")</f>
        <v>Amara (M)</v>
      </c>
      <c r="C308" s="44">
        <v>1090494</v>
      </c>
      <c r="D308" s="40" t="str">
        <f>IFERROR(VLOOKUP(C308, Terméklista!I:J, 2, FALSE), "Várom a cikkszámot...")</f>
        <v>Amara Gel maszkpárna L</v>
      </c>
      <c r="E308" s="40" t="s">
        <v>1314</v>
      </c>
      <c r="F308" s="40"/>
      <c r="G308" s="41" t="s">
        <v>1356</v>
      </c>
    </row>
    <row r="309" spans="1:7" ht="43.2" x14ac:dyDescent="0.3">
      <c r="A309" s="44">
        <v>1090225</v>
      </c>
      <c r="B309" s="40" t="str">
        <f>IFERROR(VLOOKUP(A309, Terméklista!I:J, 2, FALSE), "Várom a cikkszámot...")</f>
        <v>Amara (M)</v>
      </c>
      <c r="C309" s="44">
        <v>1090297</v>
      </c>
      <c r="D309" s="40" t="str">
        <f>IFERROR(VLOOKUP(C309, Terméklista!I:J, 2, FALSE), "Várom a cikkszámot...")</f>
        <v>Amara fejpánt standard</v>
      </c>
      <c r="E309" s="40" t="s">
        <v>1314</v>
      </c>
      <c r="F309" s="40"/>
      <c r="G309" s="41" t="s">
        <v>1356</v>
      </c>
    </row>
    <row r="310" spans="1:7" ht="43.2" x14ac:dyDescent="0.3">
      <c r="A310" s="44">
        <v>1090228</v>
      </c>
      <c r="B310" s="40" t="str">
        <f>IFERROR(VLOOKUP(A310, Terméklista!I:J, 2, FALSE), "Várom a cikkszámot...")</f>
        <v>Amara (L)</v>
      </c>
      <c r="C310" s="44">
        <v>1090292</v>
      </c>
      <c r="D310" s="40" t="str">
        <f>IFERROR(VLOOKUP(C310, Terméklista!I:J, 2, FALSE), "Várom a cikkszámot...")</f>
        <v>Amara maszkpárna S</v>
      </c>
      <c r="E310" s="40" t="s">
        <v>1314</v>
      </c>
      <c r="F310" s="40"/>
      <c r="G310" s="41" t="s">
        <v>1356</v>
      </c>
    </row>
    <row r="311" spans="1:7" ht="43.2" x14ac:dyDescent="0.3">
      <c r="A311" s="44">
        <v>1090228</v>
      </c>
      <c r="B311" s="40" t="str">
        <f>IFERROR(VLOOKUP(A311, Terméklista!I:J, 2, FALSE), "Várom a cikkszámot...")</f>
        <v>Amara (L)</v>
      </c>
      <c r="C311" s="44">
        <v>1090293</v>
      </c>
      <c r="D311" s="40" t="str">
        <f>IFERROR(VLOOKUP(C311, Terméklista!I:J, 2, FALSE), "Várom a cikkszámot...")</f>
        <v>Amara maszkpárna M</v>
      </c>
      <c r="E311" s="40" t="s">
        <v>1314</v>
      </c>
      <c r="F311" s="40"/>
      <c r="G311" s="41" t="s">
        <v>1356</v>
      </c>
    </row>
    <row r="312" spans="1:7" ht="43.2" x14ac:dyDescent="0.3">
      <c r="A312" s="44">
        <v>1090228</v>
      </c>
      <c r="B312" s="40" t="str">
        <f>IFERROR(VLOOKUP(A312, Terméklista!I:J, 2, FALSE), "Várom a cikkszámot...")</f>
        <v>Amara (L)</v>
      </c>
      <c r="C312" s="44">
        <v>1090294</v>
      </c>
      <c r="D312" s="40" t="str">
        <f>IFERROR(VLOOKUP(C312, Terméklista!I:J, 2, FALSE), "Várom a cikkszámot...")</f>
        <v>Amara maszkpárna L</v>
      </c>
      <c r="E312" s="40" t="s">
        <v>1314</v>
      </c>
      <c r="F312" s="40"/>
      <c r="G312" s="41" t="s">
        <v>1356</v>
      </c>
    </row>
    <row r="313" spans="1:7" ht="43.2" x14ac:dyDescent="0.3">
      <c r="A313" s="44">
        <v>1090228</v>
      </c>
      <c r="B313" s="40" t="str">
        <f>IFERROR(VLOOKUP(A313, Terméklista!I:J, 2, FALSE), "Várom a cikkszámot...")</f>
        <v>Amara (L)</v>
      </c>
      <c r="C313" s="44">
        <v>1090492</v>
      </c>
      <c r="D313" s="40" t="str">
        <f>IFERROR(VLOOKUP(C313, Terméklista!I:J, 2, FALSE), "Várom a cikkszámot...")</f>
        <v xml:space="preserve">Amara Gel maszkpárna S </v>
      </c>
      <c r="E313" s="40" t="s">
        <v>1314</v>
      </c>
      <c r="F313" s="40"/>
      <c r="G313" s="41" t="s">
        <v>1356</v>
      </c>
    </row>
    <row r="314" spans="1:7" ht="43.2" x14ac:dyDescent="0.3">
      <c r="A314" s="44">
        <v>1090228</v>
      </c>
      <c r="B314" s="40" t="str">
        <f>IFERROR(VLOOKUP(A314, Terméklista!I:J, 2, FALSE), "Várom a cikkszámot...")</f>
        <v>Amara (L)</v>
      </c>
      <c r="C314" s="44">
        <v>1090493</v>
      </c>
      <c r="D314" s="40" t="str">
        <f>IFERROR(VLOOKUP(C314, Terméklista!I:J, 2, FALSE), "Várom a cikkszámot...")</f>
        <v xml:space="preserve">Amara Gel maszkpárna M </v>
      </c>
      <c r="E314" s="40" t="s">
        <v>1314</v>
      </c>
      <c r="F314" s="40"/>
      <c r="G314" s="41" t="s">
        <v>1356</v>
      </c>
    </row>
    <row r="315" spans="1:7" ht="43.2" x14ac:dyDescent="0.3">
      <c r="A315" s="44">
        <v>1090228</v>
      </c>
      <c r="B315" s="40" t="str">
        <f>IFERROR(VLOOKUP(A315, Terméklista!I:J, 2, FALSE), "Várom a cikkszámot...")</f>
        <v>Amara (L)</v>
      </c>
      <c r="C315" s="44">
        <v>1090494</v>
      </c>
      <c r="D315" s="40" t="str">
        <f>IFERROR(VLOOKUP(C315, Terméklista!I:J, 2, FALSE), "Várom a cikkszámot...")</f>
        <v>Amara Gel maszkpárna L</v>
      </c>
      <c r="E315" s="40" t="s">
        <v>1314</v>
      </c>
      <c r="F315" s="40"/>
      <c r="G315" s="41" t="s">
        <v>1356</v>
      </c>
    </row>
    <row r="316" spans="1:7" ht="43.2" x14ac:dyDescent="0.3">
      <c r="A316" s="44">
        <v>1090228</v>
      </c>
      <c r="B316" s="40" t="str">
        <f>IFERROR(VLOOKUP(A316, Terméklista!I:J, 2, FALSE), "Várom a cikkszámot...")</f>
        <v>Amara (L)</v>
      </c>
      <c r="C316" s="44">
        <v>1090297</v>
      </c>
      <c r="D316" s="40" t="str">
        <f>IFERROR(VLOOKUP(C316, Terméklista!I:J, 2, FALSE), "Várom a cikkszámot...")</f>
        <v>Amara fejpánt standard</v>
      </c>
      <c r="E316" s="40" t="s">
        <v>1314</v>
      </c>
      <c r="F316" s="40"/>
      <c r="G316" s="41" t="s">
        <v>1356</v>
      </c>
    </row>
    <row r="317" spans="1:7" ht="43.2" x14ac:dyDescent="0.3">
      <c r="A317" s="44">
        <v>1090421</v>
      </c>
      <c r="B317" s="40" t="str">
        <f>IFERROR(VLOOKUP(A317, Terméklista!I:J, 2, FALSE), "Várom a cikkszámot...")</f>
        <v>Amara Gel (S)</v>
      </c>
      <c r="C317" s="44">
        <v>1090492</v>
      </c>
      <c r="D317" s="40" t="str">
        <f>IFERROR(VLOOKUP(C317, Terméklista!I:J, 2, FALSE), "Várom a cikkszámot...")</f>
        <v xml:space="preserve">Amara Gel maszkpárna S </v>
      </c>
      <c r="E317" s="40" t="s">
        <v>1314</v>
      </c>
      <c r="F317" s="40"/>
      <c r="G317" s="41" t="s">
        <v>1356</v>
      </c>
    </row>
    <row r="318" spans="1:7" ht="43.2" x14ac:dyDescent="0.3">
      <c r="A318" s="44">
        <v>1090421</v>
      </c>
      <c r="B318" s="40" t="str">
        <f>IFERROR(VLOOKUP(A318, Terméklista!I:J, 2, FALSE), "Várom a cikkszámot...")</f>
        <v>Amara Gel (S)</v>
      </c>
      <c r="C318" s="44">
        <v>1090493</v>
      </c>
      <c r="D318" s="40" t="str">
        <f>IFERROR(VLOOKUP(C318, Terméklista!I:J, 2, FALSE), "Várom a cikkszámot...")</f>
        <v xml:space="preserve">Amara Gel maszkpárna M </v>
      </c>
      <c r="E318" s="40" t="s">
        <v>1314</v>
      </c>
      <c r="F318" s="40"/>
      <c r="G318" s="41" t="s">
        <v>1356</v>
      </c>
    </row>
    <row r="319" spans="1:7" ht="43.2" x14ac:dyDescent="0.3">
      <c r="A319" s="44">
        <v>1090421</v>
      </c>
      <c r="B319" s="40" t="str">
        <f>IFERROR(VLOOKUP(A319, Terméklista!I:J, 2, FALSE), "Várom a cikkszámot...")</f>
        <v>Amara Gel (S)</v>
      </c>
      <c r="C319" s="44">
        <v>1090494</v>
      </c>
      <c r="D319" s="40" t="str">
        <f>IFERROR(VLOOKUP(C319, Terméklista!I:J, 2, FALSE), "Várom a cikkszámot...")</f>
        <v>Amara Gel maszkpárna L</v>
      </c>
      <c r="E319" s="40" t="s">
        <v>1314</v>
      </c>
      <c r="F319" s="40"/>
      <c r="G319" s="41" t="s">
        <v>1356</v>
      </c>
    </row>
    <row r="320" spans="1:7" ht="43.2" x14ac:dyDescent="0.3">
      <c r="A320" s="44">
        <v>1090421</v>
      </c>
      <c r="B320" s="40" t="str">
        <f>IFERROR(VLOOKUP(A320, Terméklista!I:J, 2, FALSE), "Várom a cikkszámot...")</f>
        <v>Amara Gel (S)</v>
      </c>
      <c r="C320" s="44">
        <v>1090292</v>
      </c>
      <c r="D320" s="40" t="str">
        <f>IFERROR(VLOOKUP(C320, Terméklista!I:J, 2, FALSE), "Várom a cikkszámot...")</f>
        <v>Amara maszkpárna S</v>
      </c>
      <c r="E320" s="40" t="s">
        <v>1314</v>
      </c>
      <c r="F320" s="40"/>
      <c r="G320" s="41" t="s">
        <v>1356</v>
      </c>
    </row>
    <row r="321" spans="1:7" ht="43.2" x14ac:dyDescent="0.3">
      <c r="A321" s="44">
        <v>1090421</v>
      </c>
      <c r="B321" s="40" t="str">
        <f>IFERROR(VLOOKUP(A321, Terméklista!I:J, 2, FALSE), "Várom a cikkszámot...")</f>
        <v>Amara Gel (S)</v>
      </c>
      <c r="C321" s="44">
        <v>1090293</v>
      </c>
      <c r="D321" s="40" t="str">
        <f>IFERROR(VLOOKUP(C321, Terméklista!I:J, 2, FALSE), "Várom a cikkszámot...")</f>
        <v>Amara maszkpárna M</v>
      </c>
      <c r="E321" s="40" t="s">
        <v>1314</v>
      </c>
      <c r="F321" s="40"/>
      <c r="G321" s="41" t="s">
        <v>1356</v>
      </c>
    </row>
    <row r="322" spans="1:7" ht="43.2" x14ac:dyDescent="0.3">
      <c r="A322" s="44">
        <v>1090421</v>
      </c>
      <c r="B322" s="40" t="str">
        <f>IFERROR(VLOOKUP(A322, Terméklista!I:J, 2, FALSE), "Várom a cikkszámot...")</f>
        <v>Amara Gel (S)</v>
      </c>
      <c r="C322" s="44">
        <v>1090294</v>
      </c>
      <c r="D322" s="40" t="str">
        <f>IFERROR(VLOOKUP(C322, Terméklista!I:J, 2, FALSE), "Várom a cikkszámot...")</f>
        <v>Amara maszkpárna L</v>
      </c>
      <c r="E322" s="40" t="s">
        <v>1314</v>
      </c>
      <c r="F322" s="40"/>
      <c r="G322" s="41" t="s">
        <v>1356</v>
      </c>
    </row>
    <row r="323" spans="1:7" ht="43.2" x14ac:dyDescent="0.3">
      <c r="A323" s="44">
        <v>1090421</v>
      </c>
      <c r="B323" s="40" t="str">
        <f>IFERROR(VLOOKUP(A323, Terméklista!I:J, 2, FALSE), "Várom a cikkszámot...")</f>
        <v>Amara Gel (S)</v>
      </c>
      <c r="C323" s="44">
        <v>1090297</v>
      </c>
      <c r="D323" s="40" t="str">
        <f>IFERROR(VLOOKUP(C323, Terméklista!I:J, 2, FALSE), "Várom a cikkszámot...")</f>
        <v>Amara fejpánt standard</v>
      </c>
      <c r="E323" s="40" t="s">
        <v>1314</v>
      </c>
      <c r="F323" s="40"/>
      <c r="G323" s="41" t="s">
        <v>1356</v>
      </c>
    </row>
    <row r="324" spans="1:7" ht="43.2" x14ac:dyDescent="0.3">
      <c r="A324" s="44">
        <v>1090425</v>
      </c>
      <c r="B324" s="44" t="str">
        <f>IFERROR(VLOOKUP(A324, Terméklista!I:J, 2, FALSE), "Várom a cikkszámot...")</f>
        <v>Amara Gel (M)</v>
      </c>
      <c r="C324" s="44">
        <v>1090492</v>
      </c>
      <c r="D324" s="44" t="str">
        <f>IFERROR(VLOOKUP(C324, Terméklista!I:J, 2, FALSE), "Várom a cikkszámot...")</f>
        <v xml:space="preserve">Amara Gel maszkpárna S </v>
      </c>
      <c r="E324" s="40" t="s">
        <v>1314</v>
      </c>
      <c r="F324" s="44"/>
      <c r="G324" s="41" t="s">
        <v>1356</v>
      </c>
    </row>
    <row r="325" spans="1:7" ht="43.2" x14ac:dyDescent="0.3">
      <c r="A325" s="44">
        <v>1090425</v>
      </c>
      <c r="B325" s="40" t="str">
        <f>IFERROR(VLOOKUP(A325, Terméklista!I:J, 2, FALSE), "Várom a cikkszámot...")</f>
        <v>Amara Gel (M)</v>
      </c>
      <c r="C325" s="44">
        <v>1090493</v>
      </c>
      <c r="D325" s="40" t="str">
        <f>IFERROR(VLOOKUP(C325, Terméklista!I:J, 2, FALSE), "Várom a cikkszámot...")</f>
        <v xml:space="preserve">Amara Gel maszkpárna M </v>
      </c>
      <c r="E325" s="40" t="s">
        <v>1314</v>
      </c>
      <c r="F325" s="40"/>
      <c r="G325" s="41" t="s">
        <v>1356</v>
      </c>
    </row>
    <row r="326" spans="1:7" ht="43.2" x14ac:dyDescent="0.3">
      <c r="A326" s="44">
        <v>1090425</v>
      </c>
      <c r="B326" s="40" t="str">
        <f>IFERROR(VLOOKUP(A326, Terméklista!I:J, 2, FALSE), "Várom a cikkszámot...")</f>
        <v>Amara Gel (M)</v>
      </c>
      <c r="C326" s="44">
        <v>1090494</v>
      </c>
      <c r="D326" s="40" t="str">
        <f>IFERROR(VLOOKUP(C326, Terméklista!I:J, 2, FALSE), "Várom a cikkszámot...")</f>
        <v>Amara Gel maszkpárna L</v>
      </c>
      <c r="E326" s="40" t="s">
        <v>1314</v>
      </c>
      <c r="F326" s="40"/>
      <c r="G326" s="41" t="s">
        <v>1356</v>
      </c>
    </row>
    <row r="327" spans="1:7" ht="43.2" x14ac:dyDescent="0.3">
      <c r="A327" s="44">
        <v>1090425</v>
      </c>
      <c r="B327" s="40" t="str">
        <f>IFERROR(VLOOKUP(A327, Terméklista!I:J, 2, FALSE), "Várom a cikkszámot...")</f>
        <v>Amara Gel (M)</v>
      </c>
      <c r="C327" s="44">
        <v>1090292</v>
      </c>
      <c r="D327" s="40" t="str">
        <f>IFERROR(VLOOKUP(C327, Terméklista!I:J, 2, FALSE), "Várom a cikkszámot...")</f>
        <v>Amara maszkpárna S</v>
      </c>
      <c r="E327" s="40" t="s">
        <v>1314</v>
      </c>
      <c r="F327" s="40"/>
      <c r="G327" s="41" t="s">
        <v>1356</v>
      </c>
    </row>
    <row r="328" spans="1:7" ht="43.2" x14ac:dyDescent="0.3">
      <c r="A328" s="44">
        <v>1090425</v>
      </c>
      <c r="B328" s="40" t="str">
        <f>IFERROR(VLOOKUP(A328, Terméklista!I:J, 2, FALSE), "Várom a cikkszámot...")</f>
        <v>Amara Gel (M)</v>
      </c>
      <c r="C328" s="44">
        <v>1090293</v>
      </c>
      <c r="D328" s="40" t="str">
        <f>IFERROR(VLOOKUP(C328, Terméklista!I:J, 2, FALSE), "Várom a cikkszámot...")</f>
        <v>Amara maszkpárna M</v>
      </c>
      <c r="E328" s="40" t="s">
        <v>1314</v>
      </c>
      <c r="F328" s="40"/>
      <c r="G328" s="41" t="s">
        <v>1356</v>
      </c>
    </row>
    <row r="329" spans="1:7" ht="43.2" x14ac:dyDescent="0.3">
      <c r="A329" s="44">
        <v>1090425</v>
      </c>
      <c r="B329" s="40" t="str">
        <f>IFERROR(VLOOKUP(A329, Terméklista!I:J, 2, FALSE), "Várom a cikkszámot...")</f>
        <v>Amara Gel (M)</v>
      </c>
      <c r="C329" s="44">
        <v>1090294</v>
      </c>
      <c r="D329" s="40" t="str">
        <f>IFERROR(VLOOKUP(C329, Terméklista!I:J, 2, FALSE), "Várom a cikkszámot...")</f>
        <v>Amara maszkpárna L</v>
      </c>
      <c r="E329" s="40" t="s">
        <v>1314</v>
      </c>
      <c r="F329" s="40"/>
      <c r="G329" s="41" t="s">
        <v>1356</v>
      </c>
    </row>
    <row r="330" spans="1:7" ht="43.2" x14ac:dyDescent="0.3">
      <c r="A330" s="44">
        <v>1090425</v>
      </c>
      <c r="B330" s="40" t="str">
        <f>IFERROR(VLOOKUP(A330, Terméklista!I:J, 2, FALSE), "Várom a cikkszámot...")</f>
        <v>Amara Gel (M)</v>
      </c>
      <c r="C330" s="44">
        <v>1090297</v>
      </c>
      <c r="D330" s="40" t="str">
        <f>IFERROR(VLOOKUP(C330, Terméklista!I:J, 2, FALSE), "Várom a cikkszámot...")</f>
        <v>Amara fejpánt standard</v>
      </c>
      <c r="E330" s="40" t="s">
        <v>1314</v>
      </c>
      <c r="F330" s="40"/>
      <c r="G330" s="41" t="s">
        <v>1356</v>
      </c>
    </row>
    <row r="331" spans="1:7" ht="43.2" x14ac:dyDescent="0.3">
      <c r="A331" s="44">
        <v>1090426</v>
      </c>
      <c r="B331" s="40" t="str">
        <f>IFERROR(VLOOKUP(A331, Terméklista!I:J, 2, FALSE), "Várom a cikkszámot...")</f>
        <v>Amara Gel (L)</v>
      </c>
      <c r="C331" s="44">
        <v>1090492</v>
      </c>
      <c r="D331" s="40" t="str">
        <f>IFERROR(VLOOKUP(C331, Terméklista!I:J, 2, FALSE), "Várom a cikkszámot...")</f>
        <v xml:space="preserve">Amara Gel maszkpárna S </v>
      </c>
      <c r="E331" s="40" t="s">
        <v>1314</v>
      </c>
      <c r="F331" s="40"/>
      <c r="G331" s="41" t="s">
        <v>1356</v>
      </c>
    </row>
    <row r="332" spans="1:7" ht="43.2" x14ac:dyDescent="0.3">
      <c r="A332" s="44">
        <v>1090426</v>
      </c>
      <c r="B332" s="40" t="str">
        <f>IFERROR(VLOOKUP(A332, Terméklista!I:J, 2, FALSE), "Várom a cikkszámot...")</f>
        <v>Amara Gel (L)</v>
      </c>
      <c r="C332" s="44">
        <v>1090493</v>
      </c>
      <c r="D332" s="40" t="str">
        <f>IFERROR(VLOOKUP(C332, Terméklista!I:J, 2, FALSE), "Várom a cikkszámot...")</f>
        <v xml:space="preserve">Amara Gel maszkpárna M </v>
      </c>
      <c r="E332" s="40" t="s">
        <v>1314</v>
      </c>
      <c r="F332" s="40"/>
      <c r="G332" s="41" t="s">
        <v>1356</v>
      </c>
    </row>
    <row r="333" spans="1:7" ht="43.2" x14ac:dyDescent="0.3">
      <c r="A333" s="44">
        <v>1090426</v>
      </c>
      <c r="B333" s="40" t="str">
        <f>IFERROR(VLOOKUP(A333, Terméklista!I:J, 2, FALSE), "Várom a cikkszámot...")</f>
        <v>Amara Gel (L)</v>
      </c>
      <c r="C333" s="44">
        <v>1090494</v>
      </c>
      <c r="D333" s="40" t="str">
        <f>IFERROR(VLOOKUP(C333, Terméklista!I:J, 2, FALSE), "Várom a cikkszámot...")</f>
        <v>Amara Gel maszkpárna L</v>
      </c>
      <c r="E333" s="40" t="s">
        <v>1314</v>
      </c>
      <c r="F333" s="40"/>
      <c r="G333" s="41" t="s">
        <v>1356</v>
      </c>
    </row>
    <row r="334" spans="1:7" ht="43.2" x14ac:dyDescent="0.3">
      <c r="A334" s="44">
        <v>1090426</v>
      </c>
      <c r="B334" s="40" t="str">
        <f>IFERROR(VLOOKUP(A334, Terméklista!I:J, 2, FALSE), "Várom a cikkszámot...")</f>
        <v>Amara Gel (L)</v>
      </c>
      <c r="C334" s="44">
        <v>1090292</v>
      </c>
      <c r="D334" s="40" t="str">
        <f>IFERROR(VLOOKUP(C334, Terméklista!I:J, 2, FALSE), "Várom a cikkszámot...")</f>
        <v>Amara maszkpárna S</v>
      </c>
      <c r="E334" s="40" t="s">
        <v>1314</v>
      </c>
      <c r="F334" s="40"/>
      <c r="G334" s="41" t="s">
        <v>1356</v>
      </c>
    </row>
    <row r="335" spans="1:7" ht="43.2" x14ac:dyDescent="0.3">
      <c r="A335" s="44">
        <v>1090426</v>
      </c>
      <c r="B335" s="40" t="str">
        <f>IFERROR(VLOOKUP(A335, Terméklista!I:J, 2, FALSE), "Várom a cikkszámot...")</f>
        <v>Amara Gel (L)</v>
      </c>
      <c r="C335" s="44">
        <v>1090293</v>
      </c>
      <c r="D335" s="40" t="str">
        <f>IFERROR(VLOOKUP(C335, Terméklista!I:J, 2, FALSE), "Várom a cikkszámot...")</f>
        <v>Amara maszkpárna M</v>
      </c>
      <c r="E335" s="40" t="s">
        <v>1314</v>
      </c>
      <c r="F335" s="40"/>
      <c r="G335" s="41" t="s">
        <v>1356</v>
      </c>
    </row>
    <row r="336" spans="1:7" ht="43.2" x14ac:dyDescent="0.3">
      <c r="A336" s="44">
        <v>1090426</v>
      </c>
      <c r="B336" s="40" t="str">
        <f>IFERROR(VLOOKUP(A336, Terméklista!I:J, 2, FALSE), "Várom a cikkszámot...")</f>
        <v>Amara Gel (L)</v>
      </c>
      <c r="C336" s="44">
        <v>1090294</v>
      </c>
      <c r="D336" s="40" t="str">
        <f>IFERROR(VLOOKUP(C336, Terméklista!I:J, 2, FALSE), "Várom a cikkszámot...")</f>
        <v>Amara maszkpárna L</v>
      </c>
      <c r="E336" s="40" t="s">
        <v>1314</v>
      </c>
      <c r="F336" s="40"/>
      <c r="G336" s="41" t="s">
        <v>1356</v>
      </c>
    </row>
    <row r="337" spans="1:7" ht="43.2" x14ac:dyDescent="0.3">
      <c r="A337" s="44">
        <v>1090426</v>
      </c>
      <c r="B337" s="40" t="str">
        <f>IFERROR(VLOOKUP(A337, Terméklista!I:J, 2, FALSE), "Várom a cikkszámot...")</f>
        <v>Amara Gel (L)</v>
      </c>
      <c r="C337" s="44">
        <v>1090297</v>
      </c>
      <c r="D337" s="40" t="str">
        <f>IFERROR(VLOOKUP(C337, Terméklista!I:J, 2, FALSE), "Várom a cikkszámot...")</f>
        <v>Amara fejpánt standard</v>
      </c>
      <c r="E337" s="40" t="s">
        <v>1314</v>
      </c>
      <c r="F337" s="40"/>
      <c r="G337" s="41" t="s">
        <v>1356</v>
      </c>
    </row>
    <row r="338" spans="1:7" ht="43.2" x14ac:dyDescent="0.3">
      <c r="A338" s="44">
        <v>1090662</v>
      </c>
      <c r="B338" s="40" t="str">
        <f>IFERROR(VLOOKUP(A338, Terméklista!I:J, 2, FALSE), "Várom a cikkszámot...")</f>
        <v>Amara View (S)</v>
      </c>
      <c r="C338" s="44">
        <v>1090692</v>
      </c>
      <c r="D338" s="40" t="str">
        <f>IFERROR(VLOOKUP(C338, Terméklista!I:J, 2, FALSE), "Várom a cikkszámot...")</f>
        <v>Amara View maszkpárna S</v>
      </c>
      <c r="E338" s="40" t="s">
        <v>1312</v>
      </c>
      <c r="F338" s="40" t="s">
        <v>1274</v>
      </c>
      <c r="G338" s="41" t="s">
        <v>1357</v>
      </c>
    </row>
    <row r="339" spans="1:7" ht="43.2" x14ac:dyDescent="0.3">
      <c r="A339" s="44">
        <v>1090662</v>
      </c>
      <c r="B339" s="40" t="str">
        <f>IFERROR(VLOOKUP(A339, Terméklista!I:J, 2, FALSE), "Várom a cikkszámot...")</f>
        <v>Amara View (S)</v>
      </c>
      <c r="C339" s="44">
        <v>1090693</v>
      </c>
      <c r="D339" s="40" t="str">
        <f>IFERROR(VLOOKUP(C339, Terméklista!I:J, 2, FALSE), "Várom a cikkszámot...")</f>
        <v>Amara View maszkpárna M</v>
      </c>
      <c r="E339" s="40" t="s">
        <v>1312</v>
      </c>
      <c r="F339" s="40"/>
      <c r="G339" s="41" t="s">
        <v>1357</v>
      </c>
    </row>
    <row r="340" spans="1:7" ht="43.2" x14ac:dyDescent="0.3">
      <c r="A340" s="44">
        <v>1090662</v>
      </c>
      <c r="B340" s="40" t="str">
        <f>IFERROR(VLOOKUP(A340, Terméklista!I:J, 2, FALSE), "Várom a cikkszámot...")</f>
        <v>Amara View (S)</v>
      </c>
      <c r="C340" s="44">
        <v>1090694</v>
      </c>
      <c r="D340" s="40" t="str">
        <f>IFERROR(VLOOKUP(C340, Terméklista!I:J, 2, FALSE), "Várom a cikkszámot...")</f>
        <v>Amara View maszkpárna L</v>
      </c>
      <c r="E340" s="40" t="s">
        <v>1312</v>
      </c>
      <c r="F340" s="40"/>
      <c r="G340" s="41" t="s">
        <v>1357</v>
      </c>
    </row>
    <row r="341" spans="1:7" ht="43.2" x14ac:dyDescent="0.3">
      <c r="A341" s="44">
        <v>1090662</v>
      </c>
      <c r="B341" s="40" t="str">
        <f>IFERROR(VLOOKUP(A341, Terméklista!I:J, 2, FALSE), "Várom a cikkszámot...")</f>
        <v>Amara View (S)</v>
      </c>
      <c r="C341" s="44">
        <v>1090697</v>
      </c>
      <c r="D341" s="40" t="str">
        <f>IFERROR(VLOOKUP(C341, Terméklista!I:J, 2, FALSE), "Várom a cikkszámot...")</f>
        <v>Várom a cikkszámot...</v>
      </c>
      <c r="E341" s="40" t="s">
        <v>1312</v>
      </c>
      <c r="F341" s="40"/>
      <c r="G341" s="41" t="s">
        <v>1357</v>
      </c>
    </row>
    <row r="342" spans="1:7" ht="43.2" x14ac:dyDescent="0.3">
      <c r="A342" s="44">
        <v>1090662</v>
      </c>
      <c r="B342" s="40" t="str">
        <f>IFERROR(VLOOKUP(A342, Terméklista!I:J, 2, FALSE), "Várom a cikkszámot...")</f>
        <v>Amara View (S)</v>
      </c>
      <c r="C342" s="44">
        <v>1090689</v>
      </c>
      <c r="D342" s="40" t="str">
        <f>IFERROR(VLOOKUP(C342, Terméklista!I:J, 2, FALSE), "Várom a cikkszámot...")</f>
        <v>Amara View maszkcső</v>
      </c>
      <c r="E342" s="40" t="s">
        <v>1312</v>
      </c>
      <c r="F342" s="40"/>
      <c r="G342" s="41" t="s">
        <v>1357</v>
      </c>
    </row>
    <row r="343" spans="1:7" ht="43.2" x14ac:dyDescent="0.3">
      <c r="A343" s="44">
        <v>1090663</v>
      </c>
      <c r="B343" s="40" t="str">
        <f>IFERROR(VLOOKUP(A343, Terméklista!I:J, 2, FALSE), "Várom a cikkszámot...")</f>
        <v>Amara View (M)</v>
      </c>
      <c r="C343" s="44">
        <v>1090692</v>
      </c>
      <c r="D343" s="40" t="str">
        <f>IFERROR(VLOOKUP(C343, Terméklista!I:J, 2, FALSE), "Várom a cikkszámot...")</f>
        <v>Amara View maszkpárna S</v>
      </c>
      <c r="E343" s="40" t="s">
        <v>1312</v>
      </c>
      <c r="F343" s="40"/>
      <c r="G343" s="41" t="s">
        <v>1357</v>
      </c>
    </row>
    <row r="344" spans="1:7" ht="43.2" x14ac:dyDescent="0.3">
      <c r="A344" s="44">
        <v>1090663</v>
      </c>
      <c r="B344" s="40" t="str">
        <f>IFERROR(VLOOKUP(A344, Terméklista!I:J, 2, FALSE), "Várom a cikkszámot...")</f>
        <v>Amara View (M)</v>
      </c>
      <c r="C344" s="44">
        <v>1090693</v>
      </c>
      <c r="D344" s="40" t="str">
        <f>IFERROR(VLOOKUP(C344, Terméklista!I:J, 2, FALSE), "Várom a cikkszámot...")</f>
        <v>Amara View maszkpárna M</v>
      </c>
      <c r="E344" s="40" t="s">
        <v>1312</v>
      </c>
      <c r="F344" s="40"/>
      <c r="G344" s="41" t="s">
        <v>1357</v>
      </c>
    </row>
    <row r="345" spans="1:7" ht="43.2" x14ac:dyDescent="0.3">
      <c r="A345" s="44">
        <v>1090663</v>
      </c>
      <c r="B345" s="40" t="str">
        <f>IFERROR(VLOOKUP(A345, Terméklista!I:J, 2, FALSE), "Várom a cikkszámot...")</f>
        <v>Amara View (M)</v>
      </c>
      <c r="C345" s="44">
        <v>1090694</v>
      </c>
      <c r="D345" s="40" t="str">
        <f>IFERROR(VLOOKUP(C345, Terméklista!I:J, 2, FALSE), "Várom a cikkszámot...")</f>
        <v>Amara View maszkpárna L</v>
      </c>
      <c r="E345" s="40" t="s">
        <v>1312</v>
      </c>
      <c r="F345" s="40"/>
      <c r="G345" s="41" t="s">
        <v>1357</v>
      </c>
    </row>
    <row r="346" spans="1:7" ht="43.2" x14ac:dyDescent="0.3">
      <c r="A346" s="44">
        <v>1090663</v>
      </c>
      <c r="B346" s="40" t="str">
        <f>IFERROR(VLOOKUP(A346, Terméklista!I:J, 2, FALSE), "Várom a cikkszámot...")</f>
        <v>Amara View (M)</v>
      </c>
      <c r="C346" s="44">
        <v>1090697</v>
      </c>
      <c r="D346" s="40" t="str">
        <f>IFERROR(VLOOKUP(C346, Terméklista!I:J, 2, FALSE), "Várom a cikkszámot...")</f>
        <v>Várom a cikkszámot...</v>
      </c>
      <c r="E346" s="40" t="s">
        <v>1312</v>
      </c>
      <c r="F346" s="40"/>
      <c r="G346" s="41" t="s">
        <v>1357</v>
      </c>
    </row>
    <row r="347" spans="1:7" ht="43.2" x14ac:dyDescent="0.3">
      <c r="A347" s="44">
        <v>1090663</v>
      </c>
      <c r="B347" s="40" t="str">
        <f>IFERROR(VLOOKUP(A347, Terméklista!I:J, 2, FALSE), "Várom a cikkszámot...")</f>
        <v>Amara View (M)</v>
      </c>
      <c r="C347" s="44">
        <v>1090689</v>
      </c>
      <c r="D347" s="40" t="str">
        <f>IFERROR(VLOOKUP(C347, Terméklista!I:J, 2, FALSE), "Várom a cikkszámot...")</f>
        <v>Amara View maszkcső</v>
      </c>
      <c r="E347" s="40" t="s">
        <v>1312</v>
      </c>
      <c r="F347" s="40"/>
      <c r="G347" s="41" t="s">
        <v>1357</v>
      </c>
    </row>
    <row r="348" spans="1:7" ht="43.2" x14ac:dyDescent="0.3">
      <c r="A348" s="44">
        <v>1090664</v>
      </c>
      <c r="B348" s="40" t="str">
        <f>IFERROR(VLOOKUP(A348, Terméklista!I:J, 2, FALSE), "Várom a cikkszámot...")</f>
        <v>Amara View (L)</v>
      </c>
      <c r="C348" s="44">
        <v>1090692</v>
      </c>
      <c r="D348" s="40" t="str">
        <f>IFERROR(VLOOKUP(C348, Terméklista!I:J, 2, FALSE), "Várom a cikkszámot...")</f>
        <v>Amara View maszkpárna S</v>
      </c>
      <c r="E348" s="40" t="s">
        <v>1312</v>
      </c>
      <c r="F348" s="40"/>
      <c r="G348" s="41" t="s">
        <v>1357</v>
      </c>
    </row>
    <row r="349" spans="1:7" ht="43.2" x14ac:dyDescent="0.3">
      <c r="A349" s="44">
        <v>1090664</v>
      </c>
      <c r="B349" s="40" t="str">
        <f>IFERROR(VLOOKUP(A349, Terméklista!I:J, 2, FALSE), "Várom a cikkszámot...")</f>
        <v>Amara View (L)</v>
      </c>
      <c r="C349" s="44">
        <v>1090693</v>
      </c>
      <c r="D349" s="40" t="str">
        <f>IFERROR(VLOOKUP(C349, Terméklista!I:J, 2, FALSE), "Várom a cikkszámot...")</f>
        <v>Amara View maszkpárna M</v>
      </c>
      <c r="E349" s="40" t="s">
        <v>1312</v>
      </c>
      <c r="F349" s="40"/>
      <c r="G349" s="41" t="s">
        <v>1357</v>
      </c>
    </row>
    <row r="350" spans="1:7" ht="43.2" x14ac:dyDescent="0.3">
      <c r="A350" s="44">
        <v>1090664</v>
      </c>
      <c r="B350" s="40" t="str">
        <f>IFERROR(VLOOKUP(A350, Terméklista!I:J, 2, FALSE), "Várom a cikkszámot...")</f>
        <v>Amara View (L)</v>
      </c>
      <c r="C350" s="44">
        <v>1090694</v>
      </c>
      <c r="D350" s="40" t="str">
        <f>IFERROR(VLOOKUP(C350, Terméklista!I:J, 2, FALSE), "Várom a cikkszámot...")</f>
        <v>Amara View maszkpárna L</v>
      </c>
      <c r="E350" s="40" t="s">
        <v>1312</v>
      </c>
      <c r="F350" s="40"/>
      <c r="G350" s="41" t="s">
        <v>1357</v>
      </c>
    </row>
    <row r="351" spans="1:7" ht="43.2" x14ac:dyDescent="0.3">
      <c r="A351" s="44">
        <v>1090664</v>
      </c>
      <c r="B351" s="40" t="str">
        <f>IFERROR(VLOOKUP(A351, Terméklista!I:J, 2, FALSE), "Várom a cikkszámot...")</f>
        <v>Amara View (L)</v>
      </c>
      <c r="C351" s="44">
        <v>1090697</v>
      </c>
      <c r="D351" s="40" t="str">
        <f>IFERROR(VLOOKUP(C351, Terméklista!I:J, 2, FALSE), "Várom a cikkszámot...")</f>
        <v>Várom a cikkszámot...</v>
      </c>
      <c r="E351" s="40" t="s">
        <v>1312</v>
      </c>
      <c r="F351" s="40"/>
      <c r="G351" s="41" t="s">
        <v>1357</v>
      </c>
    </row>
    <row r="352" spans="1:7" ht="43.2" x14ac:dyDescent="0.3">
      <c r="A352" s="44">
        <v>1090664</v>
      </c>
      <c r="B352" s="40" t="str">
        <f>IFERROR(VLOOKUP(A352, Terméklista!I:J, 2, FALSE), "Várom a cikkszámot...")</f>
        <v>Amara View (L)</v>
      </c>
      <c r="C352" s="44">
        <v>1090689</v>
      </c>
      <c r="D352" s="40" t="str">
        <f>IFERROR(VLOOKUP(C352, Terméklista!I:J, 2, FALSE), "Várom a cikkszámot...")</f>
        <v>Amara View maszkcső</v>
      </c>
      <c r="E352" s="40" t="s">
        <v>1312</v>
      </c>
      <c r="F352" s="40"/>
      <c r="G352" s="41" t="s">
        <v>1357</v>
      </c>
    </row>
    <row r="353" spans="1:7" ht="100.8" x14ac:dyDescent="0.3">
      <c r="A353" s="44">
        <v>1133370</v>
      </c>
      <c r="B353" s="40" t="str">
        <f>IFERROR(VLOOKUP(A353, Terméklista!I:J, 2, FALSE), "Várom a cikkszámot...")</f>
        <v>DreamWear Full (S)</v>
      </c>
      <c r="C353" s="44">
        <v>1133430</v>
      </c>
      <c r="D353" s="40" t="str">
        <f>IFERROR(VLOOKUP(C353, Terméklista!I:J, 2, FALSE), "Várom a cikkszámot...")</f>
        <v>Dreamwear Full S cushion</v>
      </c>
      <c r="E353" s="40" t="s">
        <v>1313</v>
      </c>
      <c r="F353" s="40" t="s">
        <v>1315</v>
      </c>
      <c r="G353" s="41" t="s">
        <v>1402</v>
      </c>
    </row>
    <row r="354" spans="1:7" ht="100.8" x14ac:dyDescent="0.3">
      <c r="A354" s="44">
        <v>1133370</v>
      </c>
      <c r="B354" s="40" t="str">
        <f>IFERROR(VLOOKUP(A354, Terméklista!I:J, 2, FALSE), "Várom a cikkszámot...")</f>
        <v>DreamWear Full (S)</v>
      </c>
      <c r="C354" s="44">
        <v>1133431</v>
      </c>
      <c r="D354" s="40" t="str">
        <f>IFERROR(VLOOKUP(C354, Terméklista!I:J, 2, FALSE), "Várom a cikkszámot...")</f>
        <v>Dreamwear Full M cushion</v>
      </c>
      <c r="E354" s="40" t="s">
        <v>1313</v>
      </c>
      <c r="F354" s="40"/>
      <c r="G354" s="41" t="s">
        <v>1402</v>
      </c>
    </row>
    <row r="355" spans="1:7" ht="100.8" x14ac:dyDescent="0.3">
      <c r="A355" s="44">
        <v>1133370</v>
      </c>
      <c r="B355" s="40" t="str">
        <f>IFERROR(VLOOKUP(A355, Terméklista!I:J, 2, FALSE), "Várom a cikkszámot...")</f>
        <v>DreamWear Full (S)</v>
      </c>
      <c r="C355" s="44">
        <v>1133432</v>
      </c>
      <c r="D355" s="40" t="str">
        <f>IFERROR(VLOOKUP(C355, Terméklista!I:J, 2, FALSE), "Várom a cikkszámot...")</f>
        <v>Dreamwear Full L cushion</v>
      </c>
      <c r="E355" s="40" t="s">
        <v>1313</v>
      </c>
      <c r="F355" s="40"/>
      <c r="G355" s="41" t="s">
        <v>1402</v>
      </c>
    </row>
    <row r="356" spans="1:7" ht="100.8" x14ac:dyDescent="0.3">
      <c r="A356" s="44">
        <v>1133370</v>
      </c>
      <c r="B356" s="40" t="str">
        <f>IFERROR(VLOOKUP(A356, Terméklista!I:J, 2, FALSE), "Várom a cikkszámot...")</f>
        <v>DreamWear Full (S)</v>
      </c>
      <c r="C356" s="44">
        <v>1133433</v>
      </c>
      <c r="D356" s="40" t="str">
        <f>IFERROR(VLOOKUP(C356, Terméklista!I:J, 2, FALSE), "Várom a cikkszámot...")</f>
        <v>Dreamwear Full MW cushion</v>
      </c>
      <c r="E356" s="40" t="s">
        <v>1313</v>
      </c>
      <c r="F356" s="40"/>
      <c r="G356" s="41" t="s">
        <v>1402</v>
      </c>
    </row>
    <row r="357" spans="1:7" ht="100.8" x14ac:dyDescent="0.3">
      <c r="A357" s="44">
        <v>1133370</v>
      </c>
      <c r="B357" s="40" t="str">
        <f>IFERROR(VLOOKUP(A357, Terméklista!I:J, 2, FALSE), "Várom a cikkszámot...")</f>
        <v>DreamWear Full (S)</v>
      </c>
      <c r="C357" s="44">
        <v>1133450</v>
      </c>
      <c r="D357" s="40" t="str">
        <f>IFERROR(VLOOKUP(C357, Terméklista!I:J, 2, FALSE), "Várom a cikkszámot...")</f>
        <v>Dreamwear Full fejpánt</v>
      </c>
      <c r="E357" s="40" t="s">
        <v>1313</v>
      </c>
      <c r="F357" s="40"/>
      <c r="G357" s="41" t="s">
        <v>1402</v>
      </c>
    </row>
    <row r="358" spans="1:7" ht="100.8" x14ac:dyDescent="0.3">
      <c r="A358" s="44">
        <v>1133371</v>
      </c>
      <c r="B358" s="40" t="str">
        <f>IFERROR(VLOOKUP(A358, Terméklista!I:J, 2, FALSE), "Várom a cikkszámot...")</f>
        <v>DreamWear Full (M)</v>
      </c>
      <c r="C358" s="44">
        <v>1133430</v>
      </c>
      <c r="D358" s="40" t="str">
        <f>IFERROR(VLOOKUP(C358, Terméklista!I:J, 2, FALSE), "Várom a cikkszámot...")</f>
        <v>Dreamwear Full S cushion</v>
      </c>
      <c r="E358" s="40" t="s">
        <v>1313</v>
      </c>
      <c r="F358" s="40"/>
      <c r="G358" s="41" t="s">
        <v>1402</v>
      </c>
    </row>
    <row r="359" spans="1:7" ht="100.8" x14ac:dyDescent="0.3">
      <c r="A359" s="44">
        <v>1133371</v>
      </c>
      <c r="B359" s="40" t="str">
        <f>IFERROR(VLOOKUP(A359, Terméklista!I:J, 2, FALSE), "Várom a cikkszámot...")</f>
        <v>DreamWear Full (M)</v>
      </c>
      <c r="C359" s="44">
        <v>1133431</v>
      </c>
      <c r="D359" s="40" t="str">
        <f>IFERROR(VLOOKUP(C359, Terméklista!I:J, 2, FALSE), "Várom a cikkszámot...")</f>
        <v>Dreamwear Full M cushion</v>
      </c>
      <c r="E359" s="40" t="s">
        <v>1313</v>
      </c>
      <c r="F359" s="40"/>
      <c r="G359" s="41" t="s">
        <v>1402</v>
      </c>
    </row>
    <row r="360" spans="1:7" ht="100.8" x14ac:dyDescent="0.3">
      <c r="A360" s="44">
        <v>1133371</v>
      </c>
      <c r="B360" s="40" t="str">
        <f>IFERROR(VLOOKUP(A360, Terméklista!I:J, 2, FALSE), "Várom a cikkszámot...")</f>
        <v>DreamWear Full (M)</v>
      </c>
      <c r="C360" s="44">
        <v>1133432</v>
      </c>
      <c r="D360" s="40" t="str">
        <f>IFERROR(VLOOKUP(C360, Terméklista!I:J, 2, FALSE), "Várom a cikkszámot...")</f>
        <v>Dreamwear Full L cushion</v>
      </c>
      <c r="E360" s="40" t="s">
        <v>1313</v>
      </c>
      <c r="F360" s="40"/>
      <c r="G360" s="41" t="s">
        <v>1402</v>
      </c>
    </row>
    <row r="361" spans="1:7" ht="100.8" x14ac:dyDescent="0.3">
      <c r="A361" s="44">
        <v>1133371</v>
      </c>
      <c r="B361" s="40" t="str">
        <f>IFERROR(VLOOKUP(A361, Terméklista!I:J, 2, FALSE), "Várom a cikkszámot...")</f>
        <v>DreamWear Full (M)</v>
      </c>
      <c r="C361" s="44">
        <v>1133433</v>
      </c>
      <c r="D361" s="40" t="str">
        <f>IFERROR(VLOOKUP(C361, Terméklista!I:J, 2, FALSE), "Várom a cikkszámot...")</f>
        <v>Dreamwear Full MW cushion</v>
      </c>
      <c r="E361" s="40" t="s">
        <v>1313</v>
      </c>
      <c r="F361" s="40"/>
      <c r="G361" s="41" t="s">
        <v>1402</v>
      </c>
    </row>
    <row r="362" spans="1:7" ht="100.8" x14ac:dyDescent="0.3">
      <c r="A362" s="44">
        <v>1133371</v>
      </c>
      <c r="B362" s="40" t="str">
        <f>IFERROR(VLOOKUP(A362, Terméklista!I:J, 2, FALSE), "Várom a cikkszámot...")</f>
        <v>DreamWear Full (M)</v>
      </c>
      <c r="C362" s="44">
        <v>1133450</v>
      </c>
      <c r="D362" s="40" t="str">
        <f>IFERROR(VLOOKUP(C362, Terméklista!I:J, 2, FALSE), "Várom a cikkszámot...")</f>
        <v>Dreamwear Full fejpánt</v>
      </c>
      <c r="E362" s="40" t="s">
        <v>1313</v>
      </c>
      <c r="F362" s="40"/>
      <c r="G362" s="41" t="s">
        <v>1402</v>
      </c>
    </row>
    <row r="363" spans="1:7" ht="100.8" x14ac:dyDescent="0.3">
      <c r="A363" s="44">
        <v>1133372</v>
      </c>
      <c r="B363" s="40" t="str">
        <f>IFERROR(VLOOKUP(A363, Terméklista!I:J, 2, FALSE), "Várom a cikkszámot...")</f>
        <v>DreamWear Full (L)</v>
      </c>
      <c r="C363" s="44">
        <v>1133430</v>
      </c>
      <c r="D363" s="40" t="str">
        <f>IFERROR(VLOOKUP(C363, Terméklista!I:J, 2, FALSE), "Várom a cikkszámot...")</f>
        <v>Dreamwear Full S cushion</v>
      </c>
      <c r="E363" s="40" t="s">
        <v>1313</v>
      </c>
      <c r="F363" s="40"/>
      <c r="G363" s="41" t="s">
        <v>1402</v>
      </c>
    </row>
    <row r="364" spans="1:7" ht="100.8" x14ac:dyDescent="0.3">
      <c r="A364" s="44">
        <v>1133372</v>
      </c>
      <c r="B364" s="40" t="str">
        <f>IFERROR(VLOOKUP(A364, Terméklista!I:J, 2, FALSE), "Várom a cikkszámot...")</f>
        <v>DreamWear Full (L)</v>
      </c>
      <c r="C364" s="44">
        <v>1133431</v>
      </c>
      <c r="D364" s="40" t="str">
        <f>IFERROR(VLOOKUP(C364, Terméklista!I:J, 2, FALSE), "Várom a cikkszámot...")</f>
        <v>Dreamwear Full M cushion</v>
      </c>
      <c r="E364" s="40" t="s">
        <v>1313</v>
      </c>
      <c r="F364" s="40"/>
      <c r="G364" s="41" t="s">
        <v>1402</v>
      </c>
    </row>
    <row r="365" spans="1:7" ht="100.8" x14ac:dyDescent="0.3">
      <c r="A365" s="44">
        <v>1133372</v>
      </c>
      <c r="B365" s="40" t="str">
        <f>IFERROR(VLOOKUP(A365, Terméklista!I:J, 2, FALSE), "Várom a cikkszámot...")</f>
        <v>DreamWear Full (L)</v>
      </c>
      <c r="C365" s="44">
        <v>1133432</v>
      </c>
      <c r="D365" s="40" t="str">
        <f>IFERROR(VLOOKUP(C365, Terméklista!I:J, 2, FALSE), "Várom a cikkszámot...")</f>
        <v>Dreamwear Full L cushion</v>
      </c>
      <c r="E365" s="40" t="s">
        <v>1313</v>
      </c>
      <c r="F365" s="40"/>
      <c r="G365" s="41" t="s">
        <v>1402</v>
      </c>
    </row>
    <row r="366" spans="1:7" ht="100.8" x14ac:dyDescent="0.3">
      <c r="A366" s="44">
        <v>1133372</v>
      </c>
      <c r="B366" s="40" t="str">
        <f>IFERROR(VLOOKUP(A366, Terméklista!I:J, 2, FALSE), "Várom a cikkszámot...")</f>
        <v>DreamWear Full (L)</v>
      </c>
      <c r="C366" s="44">
        <v>1133433</v>
      </c>
      <c r="D366" s="40" t="str">
        <f>IFERROR(VLOOKUP(C366, Terméklista!I:J, 2, FALSE), "Várom a cikkszámot...")</f>
        <v>Dreamwear Full MW cushion</v>
      </c>
      <c r="E366" s="40" t="s">
        <v>1313</v>
      </c>
      <c r="F366" s="40"/>
      <c r="G366" s="41" t="s">
        <v>1402</v>
      </c>
    </row>
    <row r="367" spans="1:7" ht="100.8" x14ac:dyDescent="0.3">
      <c r="A367" s="44">
        <v>1133372</v>
      </c>
      <c r="B367" s="40" t="str">
        <f>IFERROR(VLOOKUP(A367, Terméklista!I:J, 2, FALSE), "Várom a cikkszámot...")</f>
        <v>DreamWear Full (L)</v>
      </c>
      <c r="C367" s="44">
        <v>1133450</v>
      </c>
      <c r="D367" s="40" t="str">
        <f>IFERROR(VLOOKUP(C367, Terméklista!I:J, 2, FALSE), "Várom a cikkszámot...")</f>
        <v>Dreamwear Full fejpánt</v>
      </c>
      <c r="E367" s="40" t="s">
        <v>1313</v>
      </c>
      <c r="F367" s="40"/>
      <c r="G367" s="41" t="s">
        <v>1402</v>
      </c>
    </row>
    <row r="368" spans="1:7" ht="100.8" x14ac:dyDescent="0.3">
      <c r="A368" s="44">
        <v>1133373</v>
      </c>
      <c r="B368" s="40" t="str">
        <f>IFERROR(VLOOKUP(A368, Terméklista!I:J, 2, FALSE), "Várom a cikkszámot...")</f>
        <v>DreamWear Full (MW - medium-wide)</v>
      </c>
      <c r="C368" s="44">
        <v>1133430</v>
      </c>
      <c r="D368" s="40" t="str">
        <f>IFERROR(VLOOKUP(C368, Terméklista!I:J, 2, FALSE), "Várom a cikkszámot...")</f>
        <v>Dreamwear Full S cushion</v>
      </c>
      <c r="E368" s="40" t="s">
        <v>1313</v>
      </c>
      <c r="F368" s="40"/>
      <c r="G368" s="41" t="s">
        <v>1402</v>
      </c>
    </row>
    <row r="369" spans="1:7" ht="100.8" x14ac:dyDescent="0.3">
      <c r="A369" s="44">
        <v>1133373</v>
      </c>
      <c r="B369" s="40" t="str">
        <f>IFERROR(VLOOKUP(A369, Terméklista!I:J, 2, FALSE), "Várom a cikkszámot...")</f>
        <v>DreamWear Full (MW - medium-wide)</v>
      </c>
      <c r="C369" s="44">
        <v>1133431</v>
      </c>
      <c r="D369" s="40" t="str">
        <f>IFERROR(VLOOKUP(C369, Terméklista!I:J, 2, FALSE), "Várom a cikkszámot...")</f>
        <v>Dreamwear Full M cushion</v>
      </c>
      <c r="E369" s="40" t="s">
        <v>1313</v>
      </c>
      <c r="F369" s="40"/>
      <c r="G369" s="41" t="s">
        <v>1402</v>
      </c>
    </row>
    <row r="370" spans="1:7" ht="100.8" x14ac:dyDescent="0.3">
      <c r="A370" s="44">
        <v>1133373</v>
      </c>
      <c r="B370" s="40" t="str">
        <f>IFERROR(VLOOKUP(A370, Terméklista!I:J, 2, FALSE), "Várom a cikkszámot...")</f>
        <v>DreamWear Full (MW - medium-wide)</v>
      </c>
      <c r="C370" s="44">
        <v>1133432</v>
      </c>
      <c r="D370" s="40" t="str">
        <f>IFERROR(VLOOKUP(C370, Terméklista!I:J, 2, FALSE), "Várom a cikkszámot...")</f>
        <v>Dreamwear Full L cushion</v>
      </c>
      <c r="E370" s="40" t="s">
        <v>1313</v>
      </c>
      <c r="F370" s="40"/>
      <c r="G370" s="41" t="s">
        <v>1402</v>
      </c>
    </row>
    <row r="371" spans="1:7" ht="100.8" x14ac:dyDescent="0.3">
      <c r="A371" s="44">
        <v>1133373</v>
      </c>
      <c r="B371" s="40" t="str">
        <f>IFERROR(VLOOKUP(A371, Terméklista!I:J, 2, FALSE), "Várom a cikkszámot...")</f>
        <v>DreamWear Full (MW - medium-wide)</v>
      </c>
      <c r="C371" s="44">
        <v>1133433</v>
      </c>
      <c r="D371" s="40" t="str">
        <f>IFERROR(VLOOKUP(C371, Terméklista!I:J, 2, FALSE), "Várom a cikkszámot...")</f>
        <v>Dreamwear Full MW cushion</v>
      </c>
      <c r="E371" s="40" t="s">
        <v>1313</v>
      </c>
      <c r="F371" s="40"/>
      <c r="G371" s="41" t="s">
        <v>1402</v>
      </c>
    </row>
    <row r="372" spans="1:7" ht="86.4" x14ac:dyDescent="0.3">
      <c r="A372" s="44">
        <v>1133373</v>
      </c>
      <c r="B372" s="40" t="str">
        <f>IFERROR(VLOOKUP(A372, Terméklista!I:J, 2, FALSE), "Várom a cikkszámot...")</f>
        <v>DreamWear Full (MW - medium-wide)</v>
      </c>
      <c r="C372" s="44">
        <v>1133450</v>
      </c>
      <c r="D372" s="40" t="str">
        <f>IFERROR(VLOOKUP(C372, Terméklista!I:J, 2, FALSE), "Várom a cikkszámot...")</f>
        <v>Dreamwear Full fejpánt</v>
      </c>
      <c r="E372" s="40" t="s">
        <v>1313</v>
      </c>
      <c r="F372" s="40"/>
      <c r="G372" s="41" t="s">
        <v>1403</v>
      </c>
    </row>
    <row r="373" spans="1:7" ht="43.2" x14ac:dyDescent="0.3">
      <c r="A373" s="42" t="s">
        <v>1242</v>
      </c>
      <c r="B373" s="40" t="str">
        <f>IFERROR(VLOOKUP(A373, Terméklista!I:J, 2, FALSE), "Várom a cikkszámot...")</f>
        <v>Baktériumszűrő</v>
      </c>
      <c r="C373" s="44"/>
      <c r="D373" s="40" t="str">
        <f>IFERROR(VLOOKUP(C373, Terméklista!I:J, 2, FALSE), "Várom a cikkszámot...")</f>
        <v>Várom a cikkszámot...</v>
      </c>
      <c r="E373" s="41" t="s">
        <v>1358</v>
      </c>
      <c r="F373" s="40"/>
      <c r="G373" s="41" t="s">
        <v>1372</v>
      </c>
    </row>
    <row r="374" spans="1:7" ht="43.2" x14ac:dyDescent="0.3">
      <c r="A374" s="42" t="s">
        <v>165</v>
      </c>
      <c r="B374" s="40" t="str">
        <f>IFERROR(VLOOKUP(A374, Terméklista!I:J, 2, FALSE), "Várom a cikkszámot...")</f>
        <v>Szivacsszűrő Prisma készülékhez 1csomag/2db</v>
      </c>
      <c r="C374" s="44"/>
      <c r="D374" s="40" t="str">
        <f>IFERROR(VLOOKUP(C374, Terméklista!I:J, 2, FALSE), "Várom a cikkszámot...")</f>
        <v>Várom a cikkszámot...</v>
      </c>
      <c r="E374" s="40" t="s">
        <v>1317</v>
      </c>
      <c r="F374" s="40"/>
      <c r="G374" s="41" t="s">
        <v>1369</v>
      </c>
    </row>
    <row r="375" spans="1:7" ht="57.6" x14ac:dyDescent="0.3">
      <c r="A375" s="42" t="s">
        <v>171</v>
      </c>
      <c r="B375" s="40" t="str">
        <f>IFERROR(VLOOKUP(A375, Terméklista!I:J, 2, FALSE), "Várom a cikkszámot...")</f>
        <v>Pollenszűrő Prisma készülékhez 12db</v>
      </c>
      <c r="C375" s="44"/>
      <c r="D375" s="40" t="str">
        <f>IFERROR(VLOOKUP(C375, Terméklista!I:J, 2, FALSE), "Várom a cikkszámot...")</f>
        <v>Várom a cikkszámot...</v>
      </c>
      <c r="E375" s="40" t="s">
        <v>1317</v>
      </c>
      <c r="F375" s="40"/>
      <c r="G375" s="41" t="s">
        <v>1371</v>
      </c>
    </row>
    <row r="376" spans="1:7" ht="57.6" x14ac:dyDescent="0.3">
      <c r="A376" s="42" t="s">
        <v>167</v>
      </c>
      <c r="B376" s="40" t="str">
        <f>IFERROR(VLOOKUP(A376, Terméklista!I:J, 2, FALSE), "Várom a cikkszámot...")</f>
        <v>Szivacsszűrő SomnoBalance készülékhez 1csomag/2db</v>
      </c>
      <c r="C376" s="44"/>
      <c r="D376" s="40" t="str">
        <f>IFERROR(VLOOKUP(C376, Terméklista!I:J, 2, FALSE), "Várom a cikkszámot...")</f>
        <v>Várom a cikkszámot...</v>
      </c>
      <c r="E376" s="40" t="s">
        <v>1253</v>
      </c>
      <c r="F376" s="40"/>
      <c r="G376" s="41" t="s">
        <v>1373</v>
      </c>
    </row>
    <row r="377" spans="1:7" ht="57.6" x14ac:dyDescent="0.3">
      <c r="A377" s="42" t="s">
        <v>175</v>
      </c>
      <c r="B377" s="40" t="str">
        <f>IFERROR(VLOOKUP(A377, Terméklista!I:J, 2, FALSE), "Várom a cikkszámot...")</f>
        <v>Várom a cikkszámot...</v>
      </c>
      <c r="C377" s="44"/>
      <c r="D377" s="40" t="str">
        <f>IFERROR(VLOOKUP(C377, Terméklista!I:J, 2, FALSE), "Várom a cikkszámot...")</f>
        <v>Várom a cikkszámot...</v>
      </c>
      <c r="E377" s="40" t="s">
        <v>1253</v>
      </c>
      <c r="F377" s="40"/>
      <c r="G377" s="41" t="s">
        <v>1374</v>
      </c>
    </row>
    <row r="378" spans="1:7" ht="43.2" x14ac:dyDescent="0.3">
      <c r="A378" s="51" t="s">
        <v>1248</v>
      </c>
      <c r="B378" s="40" t="str">
        <f>IFERROR(VLOOKUP(A378, Terméklista!I:J, 2, FALSE), "Várom a cikkszámot...")</f>
        <v>Szivacsszűrő DreamStation 1  készülékhez 1db</v>
      </c>
      <c r="C378" s="44"/>
      <c r="D378" s="40" t="str">
        <f>IFERROR(VLOOKUP(C378, Terméklista!I:J, 2, FALSE), "Várom a cikkszámot...")</f>
        <v>Várom a cikkszámot...</v>
      </c>
      <c r="E378" s="40" t="s">
        <v>1250</v>
      </c>
      <c r="F378" s="40"/>
      <c r="G378" s="41" t="s">
        <v>1369</v>
      </c>
    </row>
    <row r="379" spans="1:7" ht="57.6" x14ac:dyDescent="0.3">
      <c r="A379" s="42" t="s">
        <v>1249</v>
      </c>
      <c r="B379" s="40" t="str">
        <f>IFERROR(VLOOKUP(A379, Terméklista!I:J, 2, FALSE), "Várom a cikkszámot...")</f>
        <v>Pollenszűrő Dreamstation 1 készülékhez 1cs/6db</v>
      </c>
      <c r="C379" s="44"/>
      <c r="D379" s="40" t="str">
        <f>IFERROR(VLOOKUP(C379, Terméklista!I:J, 2, FALSE), "Várom a cikkszámot...")</f>
        <v>Várom a cikkszámot...</v>
      </c>
      <c r="E379" s="40" t="s">
        <v>1250</v>
      </c>
      <c r="F379" s="40"/>
      <c r="G379" s="41" t="s">
        <v>1371</v>
      </c>
    </row>
    <row r="380" spans="1:7" ht="43.2" x14ac:dyDescent="0.3">
      <c r="A380" s="42">
        <v>1142587</v>
      </c>
      <c r="B380" s="40" t="str">
        <f>IFERROR(VLOOKUP(A380, Terméklista!I:J, 2, FALSE), "Várom a cikkszámot...")</f>
        <v>Szivacsszűrő DreamStation 2  készülékhez 1db</v>
      </c>
      <c r="C380" s="44"/>
      <c r="D380" s="40" t="str">
        <f>IFERROR(VLOOKUP(C380, Terméklista!I:J, 2, FALSE), "Várom a cikkszámot...")</f>
        <v>Várom a cikkszámot...</v>
      </c>
      <c r="E380" s="40" t="s">
        <v>1364</v>
      </c>
      <c r="F380" s="40"/>
      <c r="G380" s="41" t="s">
        <v>1369</v>
      </c>
    </row>
    <row r="381" spans="1:7" ht="57.6" x14ac:dyDescent="0.3">
      <c r="A381" s="42">
        <v>1142831</v>
      </c>
      <c r="B381" s="40" t="str">
        <f>IFERROR(VLOOKUP(A381, Terméklista!I:J, 2, FALSE), "Várom a cikkszámot...")</f>
        <v>Pollenszűrő Dreamstation 2 készülékhez 1cs/6db</v>
      </c>
      <c r="C381" s="44"/>
      <c r="D381" s="40" t="str">
        <f>IFERROR(VLOOKUP(C381, Terméklista!I:J, 2, FALSE), "Várom a cikkszámot...")</f>
        <v>Várom a cikkszámot...</v>
      </c>
      <c r="E381" s="40" t="s">
        <v>1364</v>
      </c>
      <c r="F381" s="40"/>
      <c r="G381" s="41" t="s">
        <v>1371</v>
      </c>
    </row>
    <row r="382" spans="1:7" ht="57.6" x14ac:dyDescent="0.3">
      <c r="A382" s="42">
        <v>1029330</v>
      </c>
      <c r="B382" s="40" t="str">
        <f>IFERROR(VLOOKUP(A382, Terméklista!I:J, 2, FALSE), "Várom a cikkszámot...")</f>
        <v>Szivacsszűrő Remstar Philips készülékhez 1csomag/2db</v>
      </c>
      <c r="C382" s="44"/>
      <c r="D382" s="40" t="str">
        <f>IFERROR(VLOOKUP(C382, Terméklista!I:J, 2, FALSE), "Várom a cikkszámot...")</f>
        <v>Várom a cikkszámot...</v>
      </c>
      <c r="E382" s="40" t="s">
        <v>1257</v>
      </c>
      <c r="F382" s="40"/>
      <c r="G382" s="41" t="s">
        <v>1373</v>
      </c>
    </row>
    <row r="383" spans="1:7" ht="57.6" x14ac:dyDescent="0.3">
      <c r="A383" s="42">
        <v>1029331</v>
      </c>
      <c r="B383" s="40" t="str">
        <f>IFERROR(VLOOKUP(A383, Terméklista!I:J, 2, FALSE), "Várom a cikkszámot...")</f>
        <v>Pollenszűrő Remstar Philips készülékhez 1cs/6db</v>
      </c>
      <c r="C383" s="44"/>
      <c r="D383" s="40" t="str">
        <f>IFERROR(VLOOKUP(C383, Terméklista!I:J, 2, FALSE), "Várom a cikkszámot...")</f>
        <v>Várom a cikkszámot...</v>
      </c>
      <c r="E383" s="40" t="s">
        <v>1257</v>
      </c>
      <c r="F383" s="40"/>
      <c r="G383" s="41" t="s">
        <v>1374</v>
      </c>
    </row>
    <row r="384" spans="1:7" ht="43.2" x14ac:dyDescent="0.3">
      <c r="A384" s="52" t="s">
        <v>1370</v>
      </c>
      <c r="B384" s="40" t="str">
        <f>IFERROR(VLOOKUP(A384, Terméklista!I:J, 2, FALSE), "Várom a cikkszámot...")</f>
        <v>Várom a cikkszámot...</v>
      </c>
      <c r="C384" s="44"/>
      <c r="D384" s="40" t="str">
        <f>IFERROR(VLOOKUP(C384, Terméklista!I:J, 2, FALSE), "Várom a cikkszámot...")</f>
        <v>Várom a cikkszámot...</v>
      </c>
      <c r="E384" s="40"/>
      <c r="F384" s="40"/>
      <c r="G384" s="41" t="s">
        <v>1369</v>
      </c>
    </row>
    <row r="385" spans="1:7" ht="57.6" x14ac:dyDescent="0.3">
      <c r="A385" s="42" t="s">
        <v>180</v>
      </c>
      <c r="B385" s="40" t="str">
        <f>IFERROR(VLOOKUP(A385, Terméklista!I:J, 2, FALSE), "Várom a cikkszámot...")</f>
        <v>Pollenszűrő AS100A készülékhez 12db</v>
      </c>
      <c r="C385" s="44"/>
      <c r="D385" s="40" t="str">
        <f>IFERROR(VLOOKUP(C385, Terméklista!I:J, 2, FALSE), "Várom a cikkszámot...")</f>
        <v>Várom a cikkszámot...</v>
      </c>
      <c r="E385" s="40" t="s">
        <v>1252</v>
      </c>
      <c r="F385" s="40"/>
      <c r="G385" s="41" t="s">
        <v>1371</v>
      </c>
    </row>
    <row r="386" spans="1:7" ht="43.2" x14ac:dyDescent="0.3">
      <c r="A386" s="42" t="s">
        <v>183</v>
      </c>
      <c r="B386" s="40" t="str">
        <f>IFERROR(VLOOKUP(A386, Terméklista!I:J, 2, FALSE), "Várom a cikkszámot...")</f>
        <v>Baktériumszűrő AS100A készülékhez</v>
      </c>
      <c r="C386" s="44"/>
      <c r="D386" s="40" t="str">
        <f>IFERROR(VLOOKUP(C386, Terméklista!I:J, 2, FALSE), "Várom a cikkszámot...")</f>
        <v>Várom a cikkszámot...</v>
      </c>
      <c r="E386" s="40" t="s">
        <v>1252</v>
      </c>
      <c r="F386" s="40"/>
      <c r="G386" s="41" t="s">
        <v>1372</v>
      </c>
    </row>
    <row r="387" spans="1:7" ht="43.2" x14ac:dyDescent="0.3">
      <c r="A387" s="42" t="s">
        <v>186</v>
      </c>
      <c r="B387" s="40" t="str">
        <f>IFERROR(VLOOKUP(A387, Terméklista!I:J, 2, FALSE), "Várom a cikkszámot...")</f>
        <v>Cara maszkpárna XS</v>
      </c>
      <c r="C387" s="44"/>
      <c r="D387" s="40" t="str">
        <f>IFERROR(VLOOKUP(C387, Terméklista!I:J, 2, FALSE), "Várom a cikkszámot...")</f>
        <v>Várom a cikkszámot...</v>
      </c>
      <c r="E387" s="40" t="s">
        <v>1272</v>
      </c>
      <c r="F387" s="40"/>
      <c r="G387" s="41" t="s">
        <v>1375</v>
      </c>
    </row>
    <row r="388" spans="1:7" ht="43.2" x14ac:dyDescent="0.3">
      <c r="A388" s="42" t="s">
        <v>187</v>
      </c>
      <c r="B388" s="40" t="str">
        <f>IFERROR(VLOOKUP(A388, Terméklista!I:J, 2, FALSE), "Várom a cikkszámot...")</f>
        <v>Cara maszkpárna S/M</v>
      </c>
      <c r="C388" s="44"/>
      <c r="D388" s="40" t="str">
        <f>IFERROR(VLOOKUP(C388, Terméklista!I:J, 2, FALSE), "Várom a cikkszámot...")</f>
        <v>Várom a cikkszámot...</v>
      </c>
      <c r="E388" s="40" t="s">
        <v>1272</v>
      </c>
      <c r="F388" s="40"/>
      <c r="G388" s="41" t="s">
        <v>1375</v>
      </c>
    </row>
    <row r="389" spans="1:7" ht="43.2" x14ac:dyDescent="0.3">
      <c r="A389" s="42" t="s">
        <v>188</v>
      </c>
      <c r="B389" s="40" t="str">
        <f>IFERROR(VLOOKUP(A389, Terméklista!I:J, 2, FALSE), "Várom a cikkszámot...")</f>
        <v>Cara maszkpárna M/L</v>
      </c>
      <c r="C389" s="44"/>
      <c r="D389" s="40" t="str">
        <f>IFERROR(VLOOKUP(C389, Terméklista!I:J, 2, FALSE), "Várom a cikkszámot...")</f>
        <v>Várom a cikkszámot...</v>
      </c>
      <c r="E389" s="40" t="s">
        <v>1272</v>
      </c>
      <c r="F389" s="40"/>
      <c r="G389" s="41" t="s">
        <v>1375</v>
      </c>
    </row>
    <row r="390" spans="1:7" ht="43.2" x14ac:dyDescent="0.3">
      <c r="A390" s="42" t="s">
        <v>189</v>
      </c>
      <c r="B390" s="40" t="str">
        <f>IFERROR(VLOOKUP(A390, Terméklista!I:J, 2, FALSE), "Várom a cikkszámot...")</f>
        <v>Cara maszkpárna XL</v>
      </c>
      <c r="C390" s="44"/>
      <c r="D390" s="40" t="str">
        <f>IFERROR(VLOOKUP(C390, Terméklista!I:J, 2, FALSE), "Várom a cikkszámot...")</f>
        <v>Várom a cikkszámot...</v>
      </c>
      <c r="E390" s="40" t="s">
        <v>1272</v>
      </c>
      <c r="F390" s="40"/>
      <c r="G390" s="41" t="s">
        <v>1375</v>
      </c>
    </row>
    <row r="391" spans="1:7" ht="43.2" x14ac:dyDescent="0.3">
      <c r="A391" s="42" t="s">
        <v>190</v>
      </c>
      <c r="B391" s="40" t="str">
        <f>IFERROR(VLOOKUP(A391, Terméklista!I:J, 2, FALSE), "Várom a cikkszámot...")</f>
        <v>JoyceEasy maszkpárna S</v>
      </c>
      <c r="C391" s="44"/>
      <c r="D391" s="40" t="str">
        <f>IFERROR(VLOOKUP(C391, Terméklista!I:J, 2, FALSE), "Várom a cikkszámot...")</f>
        <v>Várom a cikkszámot...</v>
      </c>
      <c r="E391" s="40" t="s">
        <v>1276</v>
      </c>
      <c r="F391" s="40"/>
      <c r="G391" s="41" t="s">
        <v>1375</v>
      </c>
    </row>
    <row r="392" spans="1:7" ht="43.2" x14ac:dyDescent="0.3">
      <c r="A392" s="42" t="s">
        <v>192</v>
      </c>
      <c r="B392" s="40" t="str">
        <f>IFERROR(VLOOKUP(A392, Terméklista!I:J, 2, FALSE), "Várom a cikkszámot...")</f>
        <v>JoyceEasy maszkpárna M</v>
      </c>
      <c r="C392" s="44"/>
      <c r="D392" s="40" t="str">
        <f>IFERROR(VLOOKUP(C392, Terméklista!I:J, 2, FALSE), "Várom a cikkszámot...")</f>
        <v>Várom a cikkszámot...</v>
      </c>
      <c r="E392" s="40" t="s">
        <v>1276</v>
      </c>
      <c r="F392" s="40"/>
      <c r="G392" s="41" t="s">
        <v>1375</v>
      </c>
    </row>
    <row r="393" spans="1:7" ht="43.2" x14ac:dyDescent="0.3">
      <c r="A393" s="42" t="s">
        <v>194</v>
      </c>
      <c r="B393" s="40" t="str">
        <f>IFERROR(VLOOKUP(A393, Terméklista!I:J, 2, FALSE), "Várom a cikkszámot...")</f>
        <v>JoyceEasy maszkpárna L</v>
      </c>
      <c r="C393" s="44"/>
      <c r="D393" s="40" t="str">
        <f>IFERROR(VLOOKUP(C393, Terméklista!I:J, 2, FALSE), "Várom a cikkszámot...")</f>
        <v>Várom a cikkszámot...</v>
      </c>
      <c r="E393" s="40" t="s">
        <v>1276</v>
      </c>
      <c r="F393" s="40"/>
      <c r="G393" s="41" t="s">
        <v>1375</v>
      </c>
    </row>
    <row r="394" spans="1:7" ht="43.2" x14ac:dyDescent="0.3">
      <c r="A394" s="42" t="s">
        <v>201</v>
      </c>
      <c r="B394" s="40" t="str">
        <f>IFERROR(VLOOKUP(A394, Terméklista!I:J, 2, FALSE), "Várom a cikkszámot...")</f>
        <v>JoyceOne maszkpárna</v>
      </c>
      <c r="C394" s="44"/>
      <c r="D394" s="40" t="str">
        <f>IFERROR(VLOOKUP(C394, Terméklista!I:J, 2, FALSE), "Várom a cikkszámot...")</f>
        <v>Várom a cikkszámot...</v>
      </c>
      <c r="E394" s="40" t="s">
        <v>1277</v>
      </c>
      <c r="F394" s="40"/>
      <c r="G394" s="41" t="s">
        <v>1375</v>
      </c>
    </row>
    <row r="395" spans="1:7" ht="43.2" x14ac:dyDescent="0.3">
      <c r="A395" s="42" t="s">
        <v>1278</v>
      </c>
      <c r="B395" s="40" t="str">
        <f>IFERROR(VLOOKUP(A395, Terméklista!I:J, 2, FALSE), "Várom a cikkszámot...")</f>
        <v>Julia maszkpárna S</v>
      </c>
      <c r="C395" s="44"/>
      <c r="D395" s="40" t="str">
        <f>IFERROR(VLOOKUP(C395, Terméklista!I:J, 2, FALSE), "Várom a cikkszámot...")</f>
        <v>Várom a cikkszámot...</v>
      </c>
      <c r="E395" s="40" t="s">
        <v>1284</v>
      </c>
      <c r="F395" s="40"/>
      <c r="G395" s="41" t="s">
        <v>1375</v>
      </c>
    </row>
    <row r="396" spans="1:7" ht="43.2" x14ac:dyDescent="0.3">
      <c r="A396" s="42" t="s">
        <v>1279</v>
      </c>
      <c r="B396" s="40" t="str">
        <f>IFERROR(VLOOKUP(A396, Terméklista!I:J, 2, FALSE), "Várom a cikkszámot...")</f>
        <v>Julia maszkpárna M</v>
      </c>
      <c r="C396" s="44"/>
      <c r="D396" s="40" t="str">
        <f>IFERROR(VLOOKUP(C396, Terméklista!I:J, 2, FALSE), "Várom a cikkszámot...")</f>
        <v>Várom a cikkszámot...</v>
      </c>
      <c r="E396" s="40" t="s">
        <v>1284</v>
      </c>
      <c r="F396" s="40"/>
      <c r="G396" s="41" t="s">
        <v>1375</v>
      </c>
    </row>
    <row r="397" spans="1:7" ht="43.2" x14ac:dyDescent="0.3">
      <c r="A397" s="42" t="s">
        <v>1280</v>
      </c>
      <c r="B397" s="40" t="str">
        <f>IFERROR(VLOOKUP(A397, Terméklista!I:J, 2, FALSE), "Várom a cikkszámot...")</f>
        <v>Julia maszkpárna L</v>
      </c>
      <c r="C397" s="44"/>
      <c r="D397" s="40" t="str">
        <f>IFERROR(VLOOKUP(C397, Terméklista!I:J, 2, FALSE), "Várom a cikkszámot...")</f>
        <v>Várom a cikkszámot...</v>
      </c>
      <c r="E397" s="40" t="s">
        <v>1284</v>
      </c>
      <c r="F397" s="40"/>
      <c r="G397" s="41" t="s">
        <v>1375</v>
      </c>
    </row>
    <row r="398" spans="1:7" ht="43.2" x14ac:dyDescent="0.3">
      <c r="A398" s="42">
        <v>1116740</v>
      </c>
      <c r="B398" s="40" t="str">
        <f>IFERROR(VLOOKUP(A398, Terméklista!I:J, 2, FALSE), "Várom a cikkszámot...")</f>
        <v>DreamWear orr alatti (Nasal) maszkpárna S</v>
      </c>
      <c r="C398" s="44"/>
      <c r="D398" s="40" t="str">
        <f>IFERROR(VLOOKUP(C398, Terméklista!I:J, 2, FALSE), "Várom a cikkszámot...")</f>
        <v>Várom a cikkszámot...</v>
      </c>
      <c r="E398" s="40" t="s">
        <v>1260</v>
      </c>
      <c r="F398" s="40"/>
      <c r="G398" s="41" t="s">
        <v>1375</v>
      </c>
    </row>
    <row r="399" spans="1:7" ht="43.2" x14ac:dyDescent="0.3">
      <c r="A399" s="42">
        <v>1116741</v>
      </c>
      <c r="B399" s="40" t="str">
        <f>IFERROR(VLOOKUP(A399, Terméklista!I:J, 2, FALSE), "Várom a cikkszámot...")</f>
        <v>DreamWear orr alatti (Nasal) maszkpárna M</v>
      </c>
      <c r="C399" s="44"/>
      <c r="D399" s="40" t="str">
        <f>IFERROR(VLOOKUP(C399, Terméklista!I:J, 2, FALSE), "Várom a cikkszámot...")</f>
        <v>Várom a cikkszámot...</v>
      </c>
      <c r="E399" s="40" t="s">
        <v>1260</v>
      </c>
      <c r="F399" s="40"/>
      <c r="G399" s="41" t="s">
        <v>1375</v>
      </c>
    </row>
    <row r="400" spans="1:7" ht="43.2" x14ac:dyDescent="0.3">
      <c r="A400" s="42">
        <v>1116742</v>
      </c>
      <c r="B400" s="40" t="str">
        <f>IFERROR(VLOOKUP(A400, Terméklista!I:J, 2, FALSE), "Várom a cikkszámot...")</f>
        <v>DreamWear orr alatti (Nasal) maszkpárna L</v>
      </c>
      <c r="C400" s="44"/>
      <c r="D400" s="40" t="str">
        <f>IFERROR(VLOOKUP(C400, Terméklista!I:J, 2, FALSE), "Várom a cikkszámot...")</f>
        <v>Várom a cikkszámot...</v>
      </c>
      <c r="E400" s="40" t="s">
        <v>1260</v>
      </c>
      <c r="F400" s="40"/>
      <c r="G400" s="41" t="s">
        <v>1375</v>
      </c>
    </row>
    <row r="401" spans="1:7" ht="43.2" x14ac:dyDescent="0.3">
      <c r="A401" s="42">
        <v>1116743</v>
      </c>
      <c r="B401" s="40" t="str">
        <f>IFERROR(VLOOKUP(A401, Terméklista!I:J, 2, FALSE), "Várom a cikkszámot...")</f>
        <v>DreamWear orr alatti (Nasal) maszkpárna MW</v>
      </c>
      <c r="C401" s="44"/>
      <c r="D401" s="40" t="str">
        <f>IFERROR(VLOOKUP(C401, Terméklista!I:J, 2, FALSE), "Várom a cikkszámot...")</f>
        <v>Várom a cikkszámot...</v>
      </c>
      <c r="E401" s="40" t="s">
        <v>1260</v>
      </c>
      <c r="F401" s="40"/>
      <c r="G401" s="41" t="s">
        <v>1375</v>
      </c>
    </row>
    <row r="402" spans="1:7" ht="43.2" x14ac:dyDescent="0.3">
      <c r="A402" s="42">
        <v>1146472</v>
      </c>
      <c r="B402" s="40" t="str">
        <f>IFERROR(VLOOKUP(A402, Terméklista!I:J, 2, FALSE), "Várom a cikkszámot...")</f>
        <v>Dreamwear orrillesztékes (Silicone Pillows) maszkpárna S</v>
      </c>
      <c r="C402" s="44"/>
      <c r="D402" s="40" t="str">
        <f>IFERROR(VLOOKUP(C402, Terméklista!I:J, 2, FALSE), "Várom a cikkszámot...")</f>
        <v>Várom a cikkszámot...</v>
      </c>
      <c r="E402" s="40" t="s">
        <v>1260</v>
      </c>
      <c r="F402" s="40"/>
      <c r="G402" s="41" t="s">
        <v>1375</v>
      </c>
    </row>
    <row r="403" spans="1:7" ht="43.2" x14ac:dyDescent="0.3">
      <c r="A403" s="42">
        <v>1146473</v>
      </c>
      <c r="B403" s="40" t="str">
        <f>IFERROR(VLOOKUP(A403, Terméklista!I:J, 2, FALSE), "Várom a cikkszámot...")</f>
        <v>Dreamwear orrillesztékes (Silicone Pillows) maszkpárna M</v>
      </c>
      <c r="C403" s="44"/>
      <c r="D403" s="40" t="str">
        <f>IFERROR(VLOOKUP(C403, Terméklista!I:J, 2, FALSE), "Várom a cikkszámot...")</f>
        <v>Várom a cikkszámot...</v>
      </c>
      <c r="E403" s="40" t="s">
        <v>1260</v>
      </c>
      <c r="F403" s="40"/>
      <c r="G403" s="41" t="s">
        <v>1375</v>
      </c>
    </row>
    <row r="404" spans="1:7" ht="43.2" x14ac:dyDescent="0.3">
      <c r="A404" s="42">
        <v>1146474</v>
      </c>
      <c r="B404" s="40" t="str">
        <f>IFERROR(VLOOKUP(A404, Terméklista!I:J, 2, FALSE), "Várom a cikkszámot...")</f>
        <v xml:space="preserve">Dreamwear orrillesztékes (Silicone Pillows) maszkpárna L </v>
      </c>
      <c r="C404" s="44"/>
      <c r="D404" s="40" t="str">
        <f>IFERROR(VLOOKUP(C404, Terméklista!I:J, 2, FALSE), "Várom a cikkszámot...")</f>
        <v>Várom a cikkszámot...</v>
      </c>
      <c r="E404" s="40" t="s">
        <v>1260</v>
      </c>
      <c r="F404" s="40"/>
      <c r="G404" s="41" t="s">
        <v>1375</v>
      </c>
    </row>
    <row r="405" spans="1:7" ht="43.2" x14ac:dyDescent="0.3">
      <c r="A405" s="42">
        <v>1105173</v>
      </c>
      <c r="B405" s="40" t="str">
        <f>IFERROR(VLOOKUP(A405, Terméklista!I:J, 2, FALSE), "Várom a cikkszámot...")</f>
        <v>Nuance Pro maszkpárna S</v>
      </c>
      <c r="C405" s="44"/>
      <c r="D405" s="40" t="str">
        <f>IFERROR(VLOOKUP(C405, Terméklista!I:J, 2, FALSE), "Várom a cikkszámot...")</f>
        <v>Várom a cikkszámot...</v>
      </c>
      <c r="E405" s="40" t="s">
        <v>1270</v>
      </c>
      <c r="F405" s="40"/>
      <c r="G405" s="41" t="s">
        <v>1375</v>
      </c>
    </row>
    <row r="406" spans="1:7" ht="43.2" x14ac:dyDescent="0.3">
      <c r="A406" s="42">
        <v>1105174</v>
      </c>
      <c r="B406" s="40" t="str">
        <f>IFERROR(VLOOKUP(A406, Terméklista!I:J, 2, FALSE), "Várom a cikkszámot...")</f>
        <v>Nuance Pro maszkpárna M</v>
      </c>
      <c r="C406" s="44"/>
      <c r="D406" s="40" t="str">
        <f>IFERROR(VLOOKUP(C406, Terméklista!I:J, 2, FALSE), "Várom a cikkszámot...")</f>
        <v>Várom a cikkszámot...</v>
      </c>
      <c r="E406" s="40" t="s">
        <v>1270</v>
      </c>
      <c r="F406" s="40"/>
      <c r="G406" s="41" t="s">
        <v>1375</v>
      </c>
    </row>
    <row r="407" spans="1:7" ht="43.2" x14ac:dyDescent="0.3">
      <c r="A407" s="42">
        <v>1105175</v>
      </c>
      <c r="B407" s="40" t="str">
        <f>IFERROR(VLOOKUP(A407, Terméklista!I:J, 2, FALSE), "Várom a cikkszámot...")</f>
        <v>Nuance Pro maszkpárna L</v>
      </c>
      <c r="C407" s="44"/>
      <c r="D407" s="40" t="str">
        <f>IFERROR(VLOOKUP(C407, Terméklista!I:J, 2, FALSE), "Várom a cikkszámot...")</f>
        <v>Várom a cikkszámot...</v>
      </c>
      <c r="E407" s="40" t="s">
        <v>1270</v>
      </c>
      <c r="F407" s="40"/>
      <c r="G407" s="41" t="s">
        <v>1375</v>
      </c>
    </row>
    <row r="408" spans="1:7" ht="43.2" x14ac:dyDescent="0.3">
      <c r="A408" s="42">
        <v>1104936</v>
      </c>
      <c r="B408" s="40" t="str">
        <f>IFERROR(VLOOKUP(A408, Terméklista!I:J, 2, FALSE), "Várom a cikkszámot...")</f>
        <v>Pico maszkpárna S/M</v>
      </c>
      <c r="C408" s="44"/>
      <c r="D408" s="40" t="str">
        <f>IFERROR(VLOOKUP(C408, Terméklista!I:J, 2, FALSE), "Várom a cikkszámot...")</f>
        <v>Várom a cikkszámot...</v>
      </c>
      <c r="E408" s="40" t="s">
        <v>1263</v>
      </c>
      <c r="F408" s="40"/>
      <c r="G408" s="41" t="s">
        <v>1375</v>
      </c>
    </row>
    <row r="409" spans="1:7" ht="43.2" x14ac:dyDescent="0.3">
      <c r="A409" s="42">
        <v>1104937</v>
      </c>
      <c r="B409" s="40" t="str">
        <f>IFERROR(VLOOKUP(A409, Terméklista!I:J, 2, FALSE), "Várom a cikkszámot...")</f>
        <v>Pico maszkpárna L</v>
      </c>
      <c r="C409" s="44"/>
      <c r="D409" s="40" t="str">
        <f>IFERROR(VLOOKUP(C409, Terméklista!I:J, 2, FALSE), "Várom a cikkszámot...")</f>
        <v>Várom a cikkszámot...</v>
      </c>
      <c r="E409" s="40" t="s">
        <v>1263</v>
      </c>
      <c r="F409" s="40"/>
      <c r="G409" s="41" t="s">
        <v>1375</v>
      </c>
    </row>
    <row r="410" spans="1:7" ht="43.2" x14ac:dyDescent="0.3">
      <c r="A410" s="42">
        <v>1104938</v>
      </c>
      <c r="B410" s="40" t="str">
        <f>IFERROR(VLOOKUP(A410, Terméklista!I:J, 2, FALSE), "Várom a cikkszámot...")</f>
        <v>Pico maszkpárna XL</v>
      </c>
      <c r="C410" s="44"/>
      <c r="D410" s="40" t="str">
        <f>IFERROR(VLOOKUP(C410, Terméklista!I:J, 2, FALSE), "Várom a cikkszámot...")</f>
        <v>Várom a cikkszámot...</v>
      </c>
      <c r="E410" s="40" t="s">
        <v>1263</v>
      </c>
      <c r="F410" s="40"/>
      <c r="G410" s="41" t="s">
        <v>1375</v>
      </c>
    </row>
    <row r="411" spans="1:7" ht="43.2" x14ac:dyDescent="0.3">
      <c r="A411" s="42">
        <v>1094087</v>
      </c>
      <c r="B411" s="40" t="str">
        <f>IFERROR(VLOOKUP(A411, Terméklista!I:J, 2, FALSE), "Várom a cikkszámot...")</f>
        <v>Wisp maszkpárna SM</v>
      </c>
      <c r="C411" s="44"/>
      <c r="D411" s="40" t="str">
        <f>IFERROR(VLOOKUP(C411, Terméklista!I:J, 2, FALSE), "Várom a cikkszámot...")</f>
        <v>Várom a cikkszámot...</v>
      </c>
      <c r="E411" s="40" t="s">
        <v>1262</v>
      </c>
      <c r="F411" s="40"/>
      <c r="G411" s="41" t="s">
        <v>1375</v>
      </c>
    </row>
    <row r="412" spans="1:7" ht="43.2" x14ac:dyDescent="0.3">
      <c r="A412" s="42">
        <v>1094088</v>
      </c>
      <c r="B412" s="40" t="str">
        <f>IFERROR(VLOOKUP(A412, Terméklista!I:J, 2, FALSE), "Várom a cikkszámot...")</f>
        <v>Wisp maszkpárna L</v>
      </c>
      <c r="C412" s="44"/>
      <c r="D412" s="40" t="str">
        <f>IFERROR(VLOOKUP(C412, Terméklista!I:J, 2, FALSE), "Várom a cikkszámot...")</f>
        <v>Várom a cikkszámot...</v>
      </c>
      <c r="E412" s="40" t="s">
        <v>1262</v>
      </c>
      <c r="F412" s="40"/>
      <c r="G412" s="41" t="s">
        <v>1375</v>
      </c>
    </row>
    <row r="413" spans="1:7" ht="43.2" x14ac:dyDescent="0.3">
      <c r="A413" s="42">
        <v>1112031</v>
      </c>
      <c r="B413" s="40" t="str">
        <f>IFERROR(VLOOKUP(A413, Terméklista!I:J, 2, FALSE), "Várom a cikkszámot...")</f>
        <v>Wisp maszkpárna XL</v>
      </c>
      <c r="C413" s="44"/>
      <c r="D413" s="40" t="str">
        <f>IFERROR(VLOOKUP(C413, Terméklista!I:J, 2, FALSE), "Várom a cikkszámot...")</f>
        <v>Várom a cikkszámot...</v>
      </c>
      <c r="E413" s="40" t="s">
        <v>1262</v>
      </c>
      <c r="F413" s="40"/>
      <c r="G413" s="41" t="s">
        <v>1375</v>
      </c>
    </row>
    <row r="414" spans="1:7" ht="43.2" x14ac:dyDescent="0.3">
      <c r="A414" s="42" t="s">
        <v>210</v>
      </c>
      <c r="B414" s="40" t="str">
        <f>IFERROR(VLOOKUP(A414, Terméklista!I:J, 2, FALSE), "Várom a cikkszámot...")</f>
        <v>CARA Full maszkpárna S</v>
      </c>
      <c r="C414" s="44"/>
      <c r="D414" s="40" t="str">
        <f>IFERROR(VLOOKUP(C414, Terméklista!I:J, 2, FALSE), "Várom a cikkszámot...")</f>
        <v>Várom a cikkszámot...</v>
      </c>
      <c r="E414" s="40" t="s">
        <v>1296</v>
      </c>
      <c r="F414" s="40"/>
      <c r="G414" s="41" t="s">
        <v>1375</v>
      </c>
    </row>
    <row r="415" spans="1:7" ht="43.2" x14ac:dyDescent="0.3">
      <c r="A415" s="42" t="s">
        <v>212</v>
      </c>
      <c r="B415" s="40" t="str">
        <f>IFERROR(VLOOKUP(A415, Terméklista!I:J, 2, FALSE), "Várom a cikkszámot...")</f>
        <v>CARA Full maszkpárna M</v>
      </c>
      <c r="C415" s="44"/>
      <c r="D415" s="40" t="str">
        <f>IFERROR(VLOOKUP(C415, Terméklista!I:J, 2, FALSE), "Várom a cikkszámot...")</f>
        <v>Várom a cikkszámot...</v>
      </c>
      <c r="E415" s="40" t="s">
        <v>1296</v>
      </c>
      <c r="F415" s="40"/>
      <c r="G415" s="41" t="s">
        <v>1375</v>
      </c>
    </row>
    <row r="416" spans="1:7" ht="43.2" x14ac:dyDescent="0.3">
      <c r="A416" s="42" t="s">
        <v>214</v>
      </c>
      <c r="B416" s="40" t="str">
        <f>IFERROR(VLOOKUP(A416, Terméklista!I:J, 2, FALSE), "Várom a cikkszámot...")</f>
        <v>CARA Full maszkpárna L</v>
      </c>
      <c r="C416" s="44"/>
      <c r="D416" s="40" t="str">
        <f>IFERROR(VLOOKUP(C416, Terméklista!I:J, 2, FALSE), "Várom a cikkszámot...")</f>
        <v>Várom a cikkszámot...</v>
      </c>
      <c r="E416" s="40" t="s">
        <v>1296</v>
      </c>
      <c r="F416" s="40"/>
      <c r="G416" s="41" t="s">
        <v>1375</v>
      </c>
    </row>
    <row r="417" spans="1:7" ht="43.2" x14ac:dyDescent="0.3">
      <c r="A417" s="42" t="s">
        <v>216</v>
      </c>
      <c r="B417" s="40" t="str">
        <f>IFERROR(VLOOKUP(A417, Terméklista!I:J, 2, FALSE), "Várom a cikkszámot...")</f>
        <v>Cara Full maszkpárna XL</v>
      </c>
      <c r="C417" s="44"/>
      <c r="D417" s="40" t="str">
        <f>IFERROR(VLOOKUP(C417, Terméklista!I:J, 2, FALSE), "Várom a cikkszámot...")</f>
        <v>Várom a cikkszámot...</v>
      </c>
      <c r="E417" s="40" t="s">
        <v>1296</v>
      </c>
      <c r="F417" s="40"/>
      <c r="G417" s="41" t="s">
        <v>1375</v>
      </c>
    </row>
    <row r="418" spans="1:7" ht="43.2" x14ac:dyDescent="0.3">
      <c r="A418" s="42" t="s">
        <v>224</v>
      </c>
      <c r="B418" s="40" t="str">
        <f>IFERROR(VLOOKUP(A418, Terméklista!I:J, 2, FALSE), "Várom a cikkszámot...")</f>
        <v>JOYCEasy Full maszkpárna S</v>
      </c>
      <c r="C418" s="44"/>
      <c r="D418" s="40" t="str">
        <f>IFERROR(VLOOKUP(C418, Terméklista!I:J, 2, FALSE), "Várom a cikkszámot...")</f>
        <v>Várom a cikkszámot...</v>
      </c>
      <c r="E418" s="40" t="s">
        <v>1297</v>
      </c>
      <c r="F418" s="40"/>
      <c r="G418" s="41" t="s">
        <v>1375</v>
      </c>
    </row>
    <row r="419" spans="1:7" ht="43.2" x14ac:dyDescent="0.3">
      <c r="A419" s="42" t="s">
        <v>226</v>
      </c>
      <c r="B419" s="40" t="str">
        <f>IFERROR(VLOOKUP(A419, Terméklista!I:J, 2, FALSE), "Várom a cikkszámot...")</f>
        <v>JOYCEasy Full maszkpárna M</v>
      </c>
      <c r="C419" s="44"/>
      <c r="D419" s="40" t="str">
        <f>IFERROR(VLOOKUP(C419, Terméklista!I:J, 2, FALSE), "Várom a cikkszámot...")</f>
        <v>Várom a cikkszámot...</v>
      </c>
      <c r="E419" s="40" t="s">
        <v>1297</v>
      </c>
      <c r="F419" s="40"/>
      <c r="G419" s="41" t="s">
        <v>1375</v>
      </c>
    </row>
    <row r="420" spans="1:7" ht="43.2" x14ac:dyDescent="0.3">
      <c r="A420" s="42" t="s">
        <v>228</v>
      </c>
      <c r="B420" s="40" t="str">
        <f>IFERROR(VLOOKUP(A420, Terméklista!I:J, 2, FALSE), "Várom a cikkszámot...")</f>
        <v>JOYCEasy Full maszkpárna L</v>
      </c>
      <c r="C420" s="44"/>
      <c r="D420" s="40" t="str">
        <f>IFERROR(VLOOKUP(C420, Terméklista!I:J, 2, FALSE), "Várom a cikkszámot...")</f>
        <v>Várom a cikkszámot...</v>
      </c>
      <c r="E420" s="40" t="s">
        <v>1297</v>
      </c>
      <c r="F420" s="40"/>
      <c r="G420" s="41" t="s">
        <v>1375</v>
      </c>
    </row>
    <row r="421" spans="1:7" ht="43.2" x14ac:dyDescent="0.3">
      <c r="A421" s="42" t="s">
        <v>230</v>
      </c>
      <c r="B421" s="40" t="str">
        <f>IFERROR(VLOOKUP(A421, Terméklista!I:J, 2, FALSE), "Várom a cikkszámot...")</f>
        <v>JoyceEasy Next Full (S) maszkpárna</v>
      </c>
      <c r="C421" s="44"/>
      <c r="D421" s="40" t="str">
        <f>IFERROR(VLOOKUP(C421, Terméklista!I:J, 2, FALSE), "Várom a cikkszámot...")</f>
        <v>Várom a cikkszámot...</v>
      </c>
      <c r="E421" s="40" t="s">
        <v>1299</v>
      </c>
      <c r="F421" s="40"/>
      <c r="G421" s="41" t="s">
        <v>1375</v>
      </c>
    </row>
    <row r="422" spans="1:7" ht="43.2" x14ac:dyDescent="0.3">
      <c r="A422" s="42" t="s">
        <v>232</v>
      </c>
      <c r="B422" s="40" t="str">
        <f>IFERROR(VLOOKUP(A422, Terméklista!I:J, 2, FALSE), "Várom a cikkszámot...")</f>
        <v>JoyceEasy Next Full (M) maszkpárna</v>
      </c>
      <c r="C422" s="44"/>
      <c r="D422" s="40" t="str">
        <f>IFERROR(VLOOKUP(C422, Terméklista!I:J, 2, FALSE), "Várom a cikkszámot...")</f>
        <v>Várom a cikkszámot...</v>
      </c>
      <c r="E422" s="40" t="s">
        <v>1299</v>
      </c>
      <c r="F422" s="40"/>
      <c r="G422" s="41" t="s">
        <v>1375</v>
      </c>
    </row>
    <row r="423" spans="1:7" ht="43.2" x14ac:dyDescent="0.3">
      <c r="A423" s="42" t="s">
        <v>234</v>
      </c>
      <c r="B423" s="40" t="str">
        <f>IFERROR(VLOOKUP(A423, Terméklista!I:J, 2, FALSE), "Várom a cikkszámot...")</f>
        <v>JoyceEasy Next Full (L) maszkpárna</v>
      </c>
      <c r="C423" s="44"/>
      <c r="D423" s="40" t="str">
        <f>IFERROR(VLOOKUP(C423, Terméklista!I:J, 2, FALSE), "Várom a cikkszámot...")</f>
        <v>Várom a cikkszámot...</v>
      </c>
      <c r="E423" s="40" t="s">
        <v>1299</v>
      </c>
      <c r="F423" s="40"/>
      <c r="G423" s="41" t="s">
        <v>1375</v>
      </c>
    </row>
    <row r="424" spans="1:7" ht="43.2" x14ac:dyDescent="0.3">
      <c r="A424" s="42" t="s">
        <v>1298</v>
      </c>
      <c r="B424" s="40" t="str">
        <f>IFERROR(VLOOKUP(A424, Terméklista!I:J, 2, FALSE), "Várom a cikkszámot...")</f>
        <v>Joyce ONE Full maszkpárna</v>
      </c>
      <c r="C424" s="44"/>
      <c r="D424" s="40" t="str">
        <f>IFERROR(VLOOKUP(C424, Terméklista!I:J, 2, FALSE), "Várom a cikkszámot...")</f>
        <v>Várom a cikkszámot...</v>
      </c>
      <c r="E424" s="40" t="s">
        <v>1300</v>
      </c>
      <c r="F424" s="40"/>
      <c r="G424" s="41" t="s">
        <v>1375</v>
      </c>
    </row>
    <row r="425" spans="1:7" ht="43.2" x14ac:dyDescent="0.3">
      <c r="A425" s="42" t="s">
        <v>218</v>
      </c>
      <c r="B425" s="40" t="str">
        <f>IFERROR(VLOOKUP(A425, Terméklista!I:J, 2, FALSE), "Várom a cikkszámot...")</f>
        <v>LENA maszkpárna S</v>
      </c>
      <c r="C425" s="44"/>
      <c r="D425" s="40" t="str">
        <f>IFERROR(VLOOKUP(C425, Terméklista!I:J, 2, FALSE), "Várom a cikkszámot...")</f>
        <v>Várom a cikkszámot...</v>
      </c>
      <c r="E425" s="40" t="s">
        <v>1311</v>
      </c>
      <c r="F425" s="40"/>
      <c r="G425" s="41" t="s">
        <v>1375</v>
      </c>
    </row>
    <row r="426" spans="1:7" ht="43.2" x14ac:dyDescent="0.3">
      <c r="A426" s="42" t="s">
        <v>220</v>
      </c>
      <c r="B426" s="40" t="str">
        <f>IFERROR(VLOOKUP(A426, Terméklista!I:J, 2, FALSE), "Várom a cikkszámot...")</f>
        <v>LENA maszkpárna M</v>
      </c>
      <c r="C426" s="44"/>
      <c r="D426" s="40" t="str">
        <f>IFERROR(VLOOKUP(C426, Terméklista!I:J, 2, FALSE), "Várom a cikkszámot...")</f>
        <v>Várom a cikkszámot...</v>
      </c>
      <c r="E426" s="40" t="s">
        <v>1311</v>
      </c>
      <c r="F426" s="40"/>
      <c r="G426" s="41" t="s">
        <v>1375</v>
      </c>
    </row>
    <row r="427" spans="1:7" ht="43.2" x14ac:dyDescent="0.3">
      <c r="A427" s="42" t="s">
        <v>222</v>
      </c>
      <c r="B427" s="40" t="str">
        <f>IFERROR(VLOOKUP(A427, Terméklista!I:J, 2, FALSE), "Várom a cikkszámot...")</f>
        <v>LENA maszkpárna L</v>
      </c>
      <c r="C427" s="44"/>
      <c r="D427" s="40" t="str">
        <f>IFERROR(VLOOKUP(C427, Terméklista!I:J, 2, FALSE), "Várom a cikkszámot...")</f>
        <v>Várom a cikkszámot...</v>
      </c>
      <c r="E427" s="40" t="s">
        <v>1311</v>
      </c>
      <c r="F427" s="40"/>
      <c r="G427" s="41" t="s">
        <v>1375</v>
      </c>
    </row>
    <row r="428" spans="1:7" ht="43.2" x14ac:dyDescent="0.3">
      <c r="A428" s="42">
        <v>1090292</v>
      </c>
      <c r="B428" s="40" t="str">
        <f>IFERROR(VLOOKUP(A428, Terméklista!I:J, 2, FALSE), "Várom a cikkszámot...")</f>
        <v>Amara maszkpárna S</v>
      </c>
      <c r="C428" s="44"/>
      <c r="D428" s="40" t="str">
        <f>IFERROR(VLOOKUP(C428, Terméklista!I:J, 2, FALSE), "Várom a cikkszámot...")</f>
        <v>Várom a cikkszámot...</v>
      </c>
      <c r="E428" s="40" t="s">
        <v>1314</v>
      </c>
      <c r="F428" s="40"/>
      <c r="G428" s="41" t="s">
        <v>1375</v>
      </c>
    </row>
    <row r="429" spans="1:7" ht="43.2" x14ac:dyDescent="0.3">
      <c r="A429" s="42">
        <v>1090293</v>
      </c>
      <c r="B429" s="40" t="str">
        <f>IFERROR(VLOOKUP(A429, Terméklista!I:J, 2, FALSE), "Várom a cikkszámot...")</f>
        <v>Amara maszkpárna M</v>
      </c>
      <c r="C429" s="44"/>
      <c r="D429" s="40" t="str">
        <f>IFERROR(VLOOKUP(C429, Terméklista!I:J, 2, FALSE), "Várom a cikkszámot...")</f>
        <v>Várom a cikkszámot...</v>
      </c>
      <c r="E429" s="40" t="s">
        <v>1314</v>
      </c>
      <c r="F429" s="40"/>
      <c r="G429" s="41" t="s">
        <v>1375</v>
      </c>
    </row>
    <row r="430" spans="1:7" ht="43.2" x14ac:dyDescent="0.3">
      <c r="A430" s="42">
        <v>1090294</v>
      </c>
      <c r="B430" s="40" t="str">
        <f>IFERROR(VLOOKUP(A430, Terméklista!I:J, 2, FALSE), "Várom a cikkszámot...")</f>
        <v>Amara maszkpárna L</v>
      </c>
      <c r="C430" s="44"/>
      <c r="D430" s="40" t="str">
        <f>IFERROR(VLOOKUP(C430, Terméklista!I:J, 2, FALSE), "Várom a cikkszámot...")</f>
        <v>Várom a cikkszámot...</v>
      </c>
      <c r="E430" s="40" t="s">
        <v>1314</v>
      </c>
      <c r="F430" s="40"/>
      <c r="G430" s="41" t="s">
        <v>1375</v>
      </c>
    </row>
    <row r="431" spans="1:7" ht="43.2" x14ac:dyDescent="0.3">
      <c r="A431" s="42">
        <v>1090490</v>
      </c>
      <c r="B431" s="40" t="str">
        <f>IFERROR(VLOOKUP(A431, Terméklista!I:J, 2, FALSE), "Várom a cikkszámot...")</f>
        <v xml:space="preserve">Amara Gel maszkpárna P </v>
      </c>
      <c r="C431" s="44"/>
      <c r="D431" s="40" t="str">
        <f>IFERROR(VLOOKUP(C431, Terméklista!I:J, 2, FALSE), "Várom a cikkszámot...")</f>
        <v>Várom a cikkszámot...</v>
      </c>
      <c r="E431" s="40" t="s">
        <v>1314</v>
      </c>
      <c r="F431" s="40"/>
      <c r="G431" s="41" t="s">
        <v>1375</v>
      </c>
    </row>
    <row r="432" spans="1:7" ht="43.2" x14ac:dyDescent="0.3">
      <c r="A432" s="42">
        <v>1090492</v>
      </c>
      <c r="B432" s="40" t="str">
        <f>IFERROR(VLOOKUP(A432, Terméklista!I:J, 2, FALSE), "Várom a cikkszámot...")</f>
        <v xml:space="preserve">Amara Gel maszkpárna S </v>
      </c>
      <c r="C432" s="44"/>
      <c r="D432" s="40" t="str">
        <f>IFERROR(VLOOKUP(C432, Terméklista!I:J, 2, FALSE), "Várom a cikkszámot...")</f>
        <v>Várom a cikkszámot...</v>
      </c>
      <c r="E432" s="40" t="s">
        <v>1314</v>
      </c>
      <c r="F432" s="40"/>
      <c r="G432" s="41" t="s">
        <v>1375</v>
      </c>
    </row>
    <row r="433" spans="1:7" ht="43.2" x14ac:dyDescent="0.3">
      <c r="A433" s="42">
        <v>1090493</v>
      </c>
      <c r="B433" s="40" t="str">
        <f>IFERROR(VLOOKUP(A433, Terméklista!I:J, 2, FALSE), "Várom a cikkszámot...")</f>
        <v xml:space="preserve">Amara Gel maszkpárna M </v>
      </c>
      <c r="C433" s="44"/>
      <c r="D433" s="40" t="str">
        <f>IFERROR(VLOOKUP(C433, Terméklista!I:J, 2, FALSE), "Várom a cikkszámot...")</f>
        <v>Várom a cikkszámot...</v>
      </c>
      <c r="E433" s="40" t="s">
        <v>1314</v>
      </c>
      <c r="F433" s="40"/>
      <c r="G433" s="41" t="s">
        <v>1375</v>
      </c>
    </row>
    <row r="434" spans="1:7" ht="43.2" x14ac:dyDescent="0.3">
      <c r="A434" s="42">
        <v>1090494</v>
      </c>
      <c r="B434" s="40" t="str">
        <f>IFERROR(VLOOKUP(A434, Terméklista!I:J, 2, FALSE), "Várom a cikkszámot...")</f>
        <v>Amara Gel maszkpárna L</v>
      </c>
      <c r="C434" s="44"/>
      <c r="D434" s="40" t="str">
        <f>IFERROR(VLOOKUP(C434, Terméklista!I:J, 2, FALSE), "Várom a cikkszámot...")</f>
        <v>Várom a cikkszámot...</v>
      </c>
      <c r="E434" s="40" t="s">
        <v>1314</v>
      </c>
      <c r="F434" s="40"/>
      <c r="G434" s="41" t="s">
        <v>1375</v>
      </c>
    </row>
    <row r="435" spans="1:7" ht="43.2" x14ac:dyDescent="0.3">
      <c r="A435" s="42">
        <v>1090692</v>
      </c>
      <c r="B435" s="40" t="str">
        <f>IFERROR(VLOOKUP(A435, Terméklista!I:J, 2, FALSE), "Várom a cikkszámot...")</f>
        <v>Amara View maszkpárna S</v>
      </c>
      <c r="C435" s="44"/>
      <c r="D435" s="40" t="str">
        <f>IFERROR(VLOOKUP(C435, Terméklista!I:J, 2, FALSE), "Várom a cikkszámot...")</f>
        <v>Várom a cikkszámot...</v>
      </c>
      <c r="E435" s="40" t="s">
        <v>1312</v>
      </c>
      <c r="F435" s="40"/>
      <c r="G435" s="41" t="s">
        <v>1375</v>
      </c>
    </row>
    <row r="436" spans="1:7" ht="43.2" x14ac:dyDescent="0.3">
      <c r="A436" s="42">
        <v>1090693</v>
      </c>
      <c r="B436" s="40" t="str">
        <f>IFERROR(VLOOKUP(A436, Terméklista!I:J, 2, FALSE), "Várom a cikkszámot...")</f>
        <v>Amara View maszkpárna M</v>
      </c>
      <c r="C436" s="44"/>
      <c r="D436" s="40" t="str">
        <f>IFERROR(VLOOKUP(C436, Terméklista!I:J, 2, FALSE), "Várom a cikkszámot...")</f>
        <v>Várom a cikkszámot...</v>
      </c>
      <c r="E436" s="40" t="s">
        <v>1312</v>
      </c>
      <c r="F436" s="40"/>
      <c r="G436" s="41" t="s">
        <v>1375</v>
      </c>
    </row>
    <row r="437" spans="1:7" ht="43.2" x14ac:dyDescent="0.3">
      <c r="A437" s="42">
        <v>1090694</v>
      </c>
      <c r="B437" s="40" t="str">
        <f>IFERROR(VLOOKUP(A437, Terméklista!I:J, 2, FALSE), "Várom a cikkszámot...")</f>
        <v>Amara View maszkpárna L</v>
      </c>
      <c r="C437" s="44"/>
      <c r="D437" s="40" t="str">
        <f>IFERROR(VLOOKUP(C437, Terméklista!I:J, 2, FALSE), "Várom a cikkszámot...")</f>
        <v>Várom a cikkszámot...</v>
      </c>
      <c r="E437" s="40" t="s">
        <v>1312</v>
      </c>
      <c r="F437" s="40"/>
      <c r="G437" s="41" t="s">
        <v>1375</v>
      </c>
    </row>
    <row r="438" spans="1:7" ht="43.2" x14ac:dyDescent="0.3">
      <c r="A438" s="42">
        <v>1133430</v>
      </c>
      <c r="B438" s="40" t="str">
        <f>IFERROR(VLOOKUP(A438, Terméklista!I:J, 2, FALSE), "Várom a cikkszámot...")</f>
        <v>Dreamwear Full S cushion</v>
      </c>
      <c r="C438" s="44"/>
      <c r="D438" s="40" t="str">
        <f>IFERROR(VLOOKUP(C438, Terméklista!I:J, 2, FALSE), "Várom a cikkszámot...")</f>
        <v>Várom a cikkszámot...</v>
      </c>
      <c r="E438" s="40" t="s">
        <v>1313</v>
      </c>
      <c r="F438" s="40"/>
      <c r="G438" s="41" t="s">
        <v>1375</v>
      </c>
    </row>
    <row r="439" spans="1:7" ht="43.2" x14ac:dyDescent="0.3">
      <c r="A439" s="42">
        <v>1133431</v>
      </c>
      <c r="B439" s="40" t="str">
        <f>IFERROR(VLOOKUP(A439, Terméklista!I:J, 2, FALSE), "Várom a cikkszámot...")</f>
        <v>Dreamwear Full M cushion</v>
      </c>
      <c r="C439" s="44"/>
      <c r="D439" s="40" t="str">
        <f>IFERROR(VLOOKUP(C439, Terméklista!I:J, 2, FALSE), "Várom a cikkszámot...")</f>
        <v>Várom a cikkszámot...</v>
      </c>
      <c r="E439" s="40" t="s">
        <v>1313</v>
      </c>
      <c r="F439" s="40"/>
      <c r="G439" s="41" t="s">
        <v>1375</v>
      </c>
    </row>
    <row r="440" spans="1:7" ht="43.2" x14ac:dyDescent="0.3">
      <c r="A440" s="42">
        <v>1133432</v>
      </c>
      <c r="B440" s="40" t="str">
        <f>IFERROR(VLOOKUP(A440, Terméklista!I:J, 2, FALSE), "Várom a cikkszámot...")</f>
        <v>Dreamwear Full L cushion</v>
      </c>
      <c r="C440" s="44"/>
      <c r="D440" s="40" t="str">
        <f>IFERROR(VLOOKUP(C440, Terméklista!I:J, 2, FALSE), "Várom a cikkszámot...")</f>
        <v>Várom a cikkszámot...</v>
      </c>
      <c r="E440" s="40" t="s">
        <v>1313</v>
      </c>
      <c r="F440" s="40"/>
      <c r="G440" s="41" t="s">
        <v>1375</v>
      </c>
    </row>
    <row r="441" spans="1:7" ht="43.2" x14ac:dyDescent="0.3">
      <c r="A441" s="42">
        <v>1133433</v>
      </c>
      <c r="B441" s="40" t="str">
        <f>IFERROR(VLOOKUP(A441, Terméklista!I:J, 2, FALSE), "Várom a cikkszámot...")</f>
        <v>Dreamwear Full MW cushion</v>
      </c>
      <c r="C441" s="44"/>
      <c r="D441" s="40" t="str">
        <f>IFERROR(VLOOKUP(C441, Terméklista!I:J, 2, FALSE), "Várom a cikkszámot...")</f>
        <v>Várom a cikkszámot...</v>
      </c>
      <c r="E441" s="40" t="s">
        <v>1313</v>
      </c>
      <c r="F441" s="40"/>
      <c r="G441" s="41" t="s">
        <v>1375</v>
      </c>
    </row>
    <row r="442" spans="1:7" ht="57.6" x14ac:dyDescent="0.3">
      <c r="A442" s="42" t="s">
        <v>200</v>
      </c>
      <c r="B442" s="40" t="str">
        <f>IFERROR(VLOOKUP(A442, Terméklista!I:J, 2, FALSE), "Várom a cikkszámot...")</f>
        <v>JoyceEasy/JoyceONE homloktámasz</v>
      </c>
      <c r="C442" s="44"/>
      <c r="D442" s="40" t="str">
        <f>IFERROR(VLOOKUP(C442, Terméklista!I:J, 2, FALSE), "Várom a cikkszámot...")</f>
        <v>Várom a cikkszámot...</v>
      </c>
      <c r="E442" s="40" t="s">
        <v>1376</v>
      </c>
      <c r="F442" s="40"/>
      <c r="G442" s="41" t="s">
        <v>1377</v>
      </c>
    </row>
    <row r="443" spans="1:7" ht="57.6" x14ac:dyDescent="0.3">
      <c r="A443" s="42" t="s">
        <v>253</v>
      </c>
      <c r="B443" s="40" t="str">
        <f>IFERROR(VLOOKUP(A443, Terméklista!I:J, 2, FALSE), "Várom a cikkszámot...")</f>
        <v>Cara fejpánt</v>
      </c>
      <c r="C443" s="44"/>
      <c r="D443" s="40" t="str">
        <f>IFERROR(VLOOKUP(C443, Terméklista!I:J, 2, FALSE), "Várom a cikkszámot...")</f>
        <v>Várom a cikkszámot...</v>
      </c>
      <c r="E443" s="40" t="s">
        <v>1272</v>
      </c>
      <c r="F443" s="40"/>
      <c r="G443" s="41" t="s">
        <v>1379</v>
      </c>
    </row>
    <row r="444" spans="1:7" ht="57.6" x14ac:dyDescent="0.3">
      <c r="A444" s="42" t="s">
        <v>255</v>
      </c>
      <c r="B444" s="40" t="str">
        <f>IFERROR(VLOOKUP(A444, Terméklista!I:J, 2, FALSE), "Várom a cikkszámot...")</f>
        <v>JoyceEasy fejpánt</v>
      </c>
      <c r="C444" s="44"/>
      <c r="D444" s="40" t="str">
        <f>IFERROR(VLOOKUP(C444, Terméklista!I:J, 2, FALSE), "Várom a cikkszámot...")</f>
        <v>Várom a cikkszámot...</v>
      </c>
      <c r="E444" s="40" t="s">
        <v>1276</v>
      </c>
      <c r="F444" s="40"/>
      <c r="G444" s="41" t="s">
        <v>1379</v>
      </c>
    </row>
    <row r="445" spans="1:7" ht="57.6" x14ac:dyDescent="0.3">
      <c r="A445" s="42" t="s">
        <v>257</v>
      </c>
      <c r="B445" s="40" t="str">
        <f>IFERROR(VLOOKUP(A445, Terméklista!I:J, 2, FALSE), "Várom a cikkszámot...")</f>
        <v>JoyceOne fejpánt</v>
      </c>
      <c r="C445" s="44"/>
      <c r="D445" s="40" t="str">
        <f>IFERROR(VLOOKUP(C445, Terméklista!I:J, 2, FALSE), "Várom a cikkszámot...")</f>
        <v>Várom a cikkszámot...</v>
      </c>
      <c r="E445" s="40" t="s">
        <v>1277</v>
      </c>
      <c r="F445" s="40"/>
      <c r="G445" s="41" t="s">
        <v>1379</v>
      </c>
    </row>
    <row r="446" spans="1:7" ht="57.6" x14ac:dyDescent="0.3">
      <c r="A446" s="42" t="s">
        <v>1025</v>
      </c>
      <c r="B446" s="40" t="str">
        <f>IFERROR(VLOOKUP(A446, Terméklista!I:J, 2, FALSE), "Várom a cikkszámot...")</f>
        <v>Julia fejpánt standard</v>
      </c>
      <c r="C446" s="44"/>
      <c r="D446" s="40" t="str">
        <f>IFERROR(VLOOKUP(C446, Terméklista!I:J, 2, FALSE), "Várom a cikkszámot...")</f>
        <v>Várom a cikkszámot...</v>
      </c>
      <c r="E446" s="40" t="s">
        <v>1284</v>
      </c>
      <c r="F446" s="40"/>
      <c r="G446" s="41" t="s">
        <v>1379</v>
      </c>
    </row>
    <row r="447" spans="1:7" ht="57.6" x14ac:dyDescent="0.3">
      <c r="A447" s="42">
        <v>1116751</v>
      </c>
      <c r="B447" s="40" t="str">
        <f>IFERROR(VLOOKUP(A447, Terméklista!I:J, 2, FALSE), "Várom a cikkszámot...")</f>
        <v>DreamWear fejpánt új</v>
      </c>
      <c r="C447" s="44"/>
      <c r="D447" s="40" t="str">
        <f>IFERROR(VLOOKUP(C447, Terméklista!I:J, 2, FALSE), "Várom a cikkszámot...")</f>
        <v>Várom a cikkszámot...</v>
      </c>
      <c r="E447" s="40" t="s">
        <v>1260</v>
      </c>
      <c r="F447" s="40"/>
      <c r="G447" s="41" t="s">
        <v>1379</v>
      </c>
    </row>
    <row r="448" spans="1:7" ht="57.6" x14ac:dyDescent="0.3">
      <c r="A448" s="42">
        <v>1105178</v>
      </c>
      <c r="B448" s="40" t="str">
        <f>IFERROR(VLOOKUP(A448, Terméklista!I:J, 2, FALSE), "Várom a cikkszámot...")</f>
        <v>Nuance Pro fejpánt</v>
      </c>
      <c r="C448" s="44"/>
      <c r="D448" s="40" t="str">
        <f>IFERROR(VLOOKUP(C448, Terméklista!I:J, 2, FALSE), "Várom a cikkszámot...")</f>
        <v>Várom a cikkszámot...</v>
      </c>
      <c r="E448" s="40" t="s">
        <v>1270</v>
      </c>
      <c r="F448" s="40"/>
      <c r="G448" s="41" t="s">
        <v>1379</v>
      </c>
    </row>
    <row r="449" spans="1:7" ht="57.6" x14ac:dyDescent="0.3">
      <c r="A449" s="42">
        <v>1146406</v>
      </c>
      <c r="B449" s="40" t="str">
        <f>IFERROR(VLOOKUP(A449, Terméklista!I:J, 2, FALSE), "Várom a cikkszámot...")</f>
        <v>Pico fejpánt</v>
      </c>
      <c r="C449" s="44"/>
      <c r="D449" s="40" t="str">
        <f>IFERROR(VLOOKUP(C449, Terméklista!I:J, 2, FALSE), "Várom a cikkszámot...")</f>
        <v>Várom a cikkszámot...</v>
      </c>
      <c r="E449" s="40" t="s">
        <v>1263</v>
      </c>
      <c r="F449" s="40"/>
      <c r="G449" s="41" t="s">
        <v>1379</v>
      </c>
    </row>
    <row r="450" spans="1:7" ht="57.6" x14ac:dyDescent="0.3">
      <c r="A450" s="42">
        <v>1094078</v>
      </c>
      <c r="B450" s="40" t="str">
        <f>IFERROR(VLOOKUP(A450, Terméklista!I:J, 2, FALSE), "Várom a cikkszámot...")</f>
        <v>Wisp fejpánt</v>
      </c>
      <c r="C450" s="44"/>
      <c r="D450" s="40" t="str">
        <f>IFERROR(VLOOKUP(C450, Terméklista!I:J, 2, FALSE), "Várom a cikkszámot...")</f>
        <v>Várom a cikkszámot...</v>
      </c>
      <c r="E450" s="40" t="s">
        <v>1262</v>
      </c>
      <c r="F450" s="40"/>
      <c r="G450" s="41" t="s">
        <v>1379</v>
      </c>
    </row>
    <row r="451" spans="1:7" ht="57.6" x14ac:dyDescent="0.3">
      <c r="A451" s="42" t="s">
        <v>1378</v>
      </c>
      <c r="B451" s="40" t="str">
        <f>IFERROR(VLOOKUP(A451, Terméklista!I:J, 2, FALSE), "Várom a cikkszámot...")</f>
        <v>Prémium fejpánt</v>
      </c>
      <c r="C451" s="44"/>
      <c r="D451" s="40" t="str">
        <f>IFERROR(VLOOKUP(C451, Terméklista!I:J, 2, FALSE), "Várom a cikkszámot...")</f>
        <v>Várom a cikkszámot...</v>
      </c>
      <c r="E451" s="53" t="s">
        <v>31</v>
      </c>
      <c r="F451" s="40"/>
      <c r="G451" s="41" t="s">
        <v>1379</v>
      </c>
    </row>
    <row r="452" spans="1:7" ht="57.6" x14ac:dyDescent="0.3">
      <c r="A452" s="42">
        <v>1012911</v>
      </c>
      <c r="B452" s="40" t="str">
        <f>IFERROR(VLOOKUP(A452, Terméklista!I:J, 2, FALSE), "Várom a cikkszámot...")</f>
        <v>Állpánt prémium</v>
      </c>
      <c r="C452" s="44"/>
      <c r="D452" s="40" t="str">
        <f>IFERROR(VLOOKUP(C452, Terméklista!I:J, 2, FALSE), "Várom a cikkszámot...")</f>
        <v>Várom a cikkszámot...</v>
      </c>
      <c r="E452" s="53" t="s">
        <v>31</v>
      </c>
      <c r="F452" s="40"/>
      <c r="G452" s="41" t="s">
        <v>1380</v>
      </c>
    </row>
    <row r="453" spans="1:7" ht="57.6" x14ac:dyDescent="0.3">
      <c r="A453" s="42" t="s">
        <v>1036</v>
      </c>
      <c r="B453" s="40" t="str">
        <f>IFERROR(VLOOKUP(A453, Terméklista!I:J, 2, FALSE), "Várom a cikkszámot...")</f>
        <v>CARA FF fejpánt</v>
      </c>
      <c r="C453" s="44"/>
      <c r="D453" s="40" t="str">
        <f>IFERROR(VLOOKUP(C453, Terméklista!I:J, 2, FALSE), "Várom a cikkszámot...")</f>
        <v>Várom a cikkszámot...</v>
      </c>
      <c r="E453" s="40" t="s">
        <v>1296</v>
      </c>
      <c r="F453" s="40"/>
      <c r="G453" s="41" t="s">
        <v>1379</v>
      </c>
    </row>
    <row r="454" spans="1:7" ht="57.6" x14ac:dyDescent="0.3">
      <c r="A454" s="42" t="s">
        <v>1037</v>
      </c>
      <c r="B454" s="40" t="str">
        <f>IFERROR(VLOOKUP(A454, Terméklista!I:J, 2, FALSE), "Várom a cikkszámot...")</f>
        <v>JoyceEasy FF fejpánt</v>
      </c>
      <c r="C454" s="44"/>
      <c r="D454" s="40" t="str">
        <f>IFERROR(VLOOKUP(C454, Terméklista!I:J, 2, FALSE), "Várom a cikkszámot...")</f>
        <v>Várom a cikkszámot...</v>
      </c>
      <c r="E454" s="40" t="s">
        <v>1297</v>
      </c>
      <c r="F454" s="40"/>
      <c r="G454" s="41" t="s">
        <v>1379</v>
      </c>
    </row>
    <row r="455" spans="1:7" ht="57.6" x14ac:dyDescent="0.3">
      <c r="A455" s="42" t="s">
        <v>1038</v>
      </c>
      <c r="B455" s="40" t="str">
        <f>IFERROR(VLOOKUP(A455, Terméklista!I:J, 2, FALSE), "Várom a cikkszámot...")</f>
        <v>JoyceEasy NEXT FF fejpánt</v>
      </c>
      <c r="C455" s="44"/>
      <c r="D455" s="40" t="str">
        <f>IFERROR(VLOOKUP(C455, Terméklista!I:J, 2, FALSE), "Várom a cikkszámot...")</f>
        <v>Várom a cikkszámot...</v>
      </c>
      <c r="E455" s="40" t="s">
        <v>1299</v>
      </c>
      <c r="F455" s="40"/>
      <c r="G455" s="41" t="s">
        <v>1379</v>
      </c>
    </row>
    <row r="456" spans="1:7" ht="57.6" x14ac:dyDescent="0.3">
      <c r="A456" s="42" t="s">
        <v>1039</v>
      </c>
      <c r="B456" s="40" t="str">
        <f>IFERROR(VLOOKUP(A456, Terméklista!I:J, 2, FALSE), "Várom a cikkszámot...")</f>
        <v>Joyce ONE FF fejpánt</v>
      </c>
      <c r="C456" s="44"/>
      <c r="D456" s="40" t="str">
        <f>IFERROR(VLOOKUP(C456, Terméklista!I:J, 2, FALSE), "Várom a cikkszámot...")</f>
        <v>Várom a cikkszámot...</v>
      </c>
      <c r="E456" s="40" t="s">
        <v>1300</v>
      </c>
      <c r="F456" s="40"/>
      <c r="G456" s="41" t="s">
        <v>1379</v>
      </c>
    </row>
    <row r="457" spans="1:7" ht="57.6" x14ac:dyDescent="0.3">
      <c r="A457" s="42" t="s">
        <v>283</v>
      </c>
      <c r="B457" s="40" t="str">
        <f>IFERROR(VLOOKUP(A457, Terméklista!I:J, 2, FALSE), "Várom a cikkszámot...")</f>
        <v>LENA fejpánt</v>
      </c>
      <c r="C457" s="44"/>
      <c r="D457" s="40" t="str">
        <f>IFERROR(VLOOKUP(C457, Terméklista!I:J, 2, FALSE), "Várom a cikkszámot...")</f>
        <v>Várom a cikkszámot...</v>
      </c>
      <c r="E457" s="40" t="s">
        <v>1311</v>
      </c>
      <c r="F457" s="40"/>
      <c r="G457" s="41" t="s">
        <v>1379</v>
      </c>
    </row>
    <row r="458" spans="1:7" ht="57.6" x14ac:dyDescent="0.3">
      <c r="A458" s="42">
        <v>1090297</v>
      </c>
      <c r="B458" s="40" t="str">
        <f>IFERROR(VLOOKUP(A458, Terméklista!I:J, 2, FALSE), "Várom a cikkszámot...")</f>
        <v>Amara fejpánt standard</v>
      </c>
      <c r="C458" s="44"/>
      <c r="D458" s="40" t="str">
        <f>IFERROR(VLOOKUP(C458, Terméklista!I:J, 2, FALSE), "Várom a cikkszámot...")</f>
        <v>Várom a cikkszámot...</v>
      </c>
      <c r="E458" s="40" t="s">
        <v>1314</v>
      </c>
      <c r="F458" s="40"/>
      <c r="G458" s="41" t="s">
        <v>1379</v>
      </c>
    </row>
    <row r="459" spans="1:7" ht="57.6" x14ac:dyDescent="0.3">
      <c r="A459" s="42">
        <v>1090697</v>
      </c>
      <c r="B459" s="40" t="str">
        <f>IFERROR(VLOOKUP(A459, Terméklista!I:J, 2, FALSE), "Várom a cikkszámot...")</f>
        <v>Várom a cikkszámot...</v>
      </c>
      <c r="C459" s="44"/>
      <c r="D459" s="40" t="str">
        <f>IFERROR(VLOOKUP(C459, Terméklista!I:J, 2, FALSE), "Várom a cikkszámot...")</f>
        <v>Várom a cikkszámot...</v>
      </c>
      <c r="E459" s="40" t="s">
        <v>1312</v>
      </c>
      <c r="F459" s="40"/>
      <c r="G459" s="41" t="s">
        <v>1379</v>
      </c>
    </row>
    <row r="460" spans="1:7" ht="57.6" x14ac:dyDescent="0.3">
      <c r="A460" s="42">
        <v>1133450</v>
      </c>
      <c r="B460" s="40" t="str">
        <f>IFERROR(VLOOKUP(A460, Terméklista!I:J, 2, FALSE), "Várom a cikkszámot...")</f>
        <v>Dreamwear Full fejpánt</v>
      </c>
      <c r="C460" s="44"/>
      <c r="D460" s="40" t="str">
        <f>IFERROR(VLOOKUP(C460, Terméklista!I:J, 2, FALSE), "Várom a cikkszámot...")</f>
        <v>Várom a cikkszámot...</v>
      </c>
      <c r="E460" s="40" t="s">
        <v>1313</v>
      </c>
      <c r="F460" s="40"/>
      <c r="G460" s="41" t="s">
        <v>1379</v>
      </c>
    </row>
    <row r="461" spans="1:7" ht="57.6" x14ac:dyDescent="0.3">
      <c r="A461" s="42">
        <v>1116747</v>
      </c>
      <c r="B461" s="40" t="str">
        <f>IFERROR(VLOOKUP(A461, Terméklista!I:J, 2, FALSE), "Várom a cikkszámot...")</f>
        <v>DreamWear szilikon váz L</v>
      </c>
      <c r="C461" s="44"/>
      <c r="D461" s="40" t="str">
        <f>IFERROR(VLOOKUP(C461, Terméklista!I:J, 2, FALSE), "Várom a cikkszámot...")</f>
        <v>Várom a cikkszámot...</v>
      </c>
      <c r="E461" s="40" t="s">
        <v>1260</v>
      </c>
      <c r="F461" s="40"/>
      <c r="G461" s="41" t="s">
        <v>1381</v>
      </c>
    </row>
    <row r="462" spans="1:7" ht="57.6" x14ac:dyDescent="0.3">
      <c r="A462" s="42">
        <v>1116745</v>
      </c>
      <c r="B462" s="40" t="str">
        <f>IFERROR(VLOOKUP(A462, Terméklista!I:J, 2, FALSE), "Várom a cikkszámot...")</f>
        <v>DreamWear szilikon váz S/M</v>
      </c>
      <c r="C462" s="44"/>
      <c r="D462" s="40" t="str">
        <f>IFERROR(VLOOKUP(C462, Terméklista!I:J, 2, FALSE), "Várom a cikkszámot...")</f>
        <v>Várom a cikkszámot...</v>
      </c>
      <c r="E462" s="40" t="s">
        <v>1260</v>
      </c>
      <c r="F462" s="40"/>
      <c r="G462" s="41" t="s">
        <v>1381</v>
      </c>
    </row>
    <row r="463" spans="1:7" ht="57.6" x14ac:dyDescent="0.3">
      <c r="A463" s="42">
        <v>1105405</v>
      </c>
      <c r="B463" s="40" t="str">
        <f>IFERROR(VLOOKUP(A463, Terméklista!I:J, 2, FALSE), "Várom a cikkszámot...")</f>
        <v>Nuance fabric frame</v>
      </c>
      <c r="C463" s="44"/>
      <c r="D463" s="40" t="str">
        <f>IFERROR(VLOOKUP(C463, Terméklista!I:J, 2, FALSE), "Várom a cikkszámot...")</f>
        <v>Várom a cikkszámot...</v>
      </c>
      <c r="E463" s="40" t="s">
        <v>1270</v>
      </c>
      <c r="F463" s="40"/>
      <c r="G463" s="41" t="s">
        <v>1381</v>
      </c>
    </row>
    <row r="464" spans="1:7" ht="57.6" x14ac:dyDescent="0.3">
      <c r="A464" s="42">
        <v>1094080</v>
      </c>
      <c r="B464" s="40" t="str">
        <f>IFERROR(VLOOKUP(A464, Terméklista!I:J, 2, FALSE), "Várom a cikkszámot...")</f>
        <v>Wisp váz szilikon</v>
      </c>
      <c r="C464" s="44"/>
      <c r="D464" s="40" t="str">
        <f>IFERROR(VLOOKUP(C464, Terméklista!I:J, 2, FALSE), "Várom a cikkszámot...")</f>
        <v>Várom a cikkszámot...</v>
      </c>
      <c r="E464" s="40" t="s">
        <v>1262</v>
      </c>
      <c r="F464" s="40"/>
      <c r="G464" s="41" t="s">
        <v>1381</v>
      </c>
    </row>
    <row r="465" spans="1:7" ht="57.6" x14ac:dyDescent="0.3">
      <c r="A465" s="42">
        <v>1094081</v>
      </c>
      <c r="B465" s="40" t="str">
        <f>IFERROR(VLOOKUP(A465, Terméklista!I:J, 2, FALSE), "Várom a cikkszámot...")</f>
        <v>Wisp váz textil</v>
      </c>
      <c r="C465" s="44"/>
      <c r="D465" s="40" t="str">
        <f>IFERROR(VLOOKUP(C465, Terméklista!I:J, 2, FALSE), "Várom a cikkszámot...")</f>
        <v>Várom a cikkszámot...</v>
      </c>
      <c r="E465" s="40" t="s">
        <v>1262</v>
      </c>
      <c r="F465" s="40"/>
      <c r="G465" s="41" t="s">
        <v>1381</v>
      </c>
    </row>
    <row r="466" spans="1:7" ht="57.6" x14ac:dyDescent="0.3">
      <c r="A466" s="42" t="s">
        <v>1281</v>
      </c>
      <c r="B466" s="40" t="str">
        <f>IFERROR(VLOOKUP(A466, Terméklista!I:J, 2, FALSE), "Várom a cikkszámot...")</f>
        <v>Julia vázborítás</v>
      </c>
      <c r="C466" s="44"/>
      <c r="D466" s="40" t="str">
        <f>IFERROR(VLOOKUP(C466, Terméklista!I:J, 2, FALSE), "Várom a cikkszámot...")</f>
        <v>Várom a cikkszámot...</v>
      </c>
      <c r="E466" s="40" t="s">
        <v>1284</v>
      </c>
      <c r="F466" s="40"/>
      <c r="G466" s="41" t="s">
        <v>1382</v>
      </c>
    </row>
    <row r="467" spans="1:7" ht="57.6" x14ac:dyDescent="0.3">
      <c r="A467" s="42">
        <v>1116754</v>
      </c>
      <c r="B467" s="40" t="str">
        <f>IFERROR(VLOOKUP(A467, Terméklista!I:J, 2, FALSE), "Várom a cikkszámot...")</f>
        <v>DreamWear vázborítás</v>
      </c>
      <c r="C467" s="44"/>
      <c r="D467" s="40" t="str">
        <f>IFERROR(VLOOKUP(C467, Terméklista!I:J, 2, FALSE), "Várom a cikkszámot...")</f>
        <v>Várom a cikkszámot...</v>
      </c>
      <c r="E467" s="40" t="s">
        <v>1260</v>
      </c>
      <c r="F467" s="40"/>
      <c r="G467" s="41" t="s">
        <v>1382</v>
      </c>
    </row>
    <row r="468" spans="1:7" ht="57.6" x14ac:dyDescent="0.3">
      <c r="A468" s="42">
        <v>1105180</v>
      </c>
      <c r="B468" s="40" t="str">
        <f>IFERROR(VLOOKUP(A468, Terméklista!I:J, 2, FALSE), "Várom a cikkszámot...")</f>
        <v>Nuance maszkcső</v>
      </c>
      <c r="C468" s="44"/>
      <c r="D468" s="40" t="str">
        <f>IFERROR(VLOOKUP(C468, Terméklista!I:J, 2, FALSE), "Várom a cikkszámot...")</f>
        <v>Várom a cikkszámot...</v>
      </c>
      <c r="E468" s="40" t="s">
        <v>1270</v>
      </c>
      <c r="F468" s="40"/>
      <c r="G468" s="41" t="s">
        <v>1383</v>
      </c>
    </row>
    <row r="469" spans="1:7" ht="57.6" x14ac:dyDescent="0.3">
      <c r="A469" s="42">
        <v>1105624</v>
      </c>
      <c r="B469" s="40" t="str">
        <f>IFERROR(VLOOKUP(A469, Terméklista!I:J, 2, FALSE), "Várom a cikkszámot...")</f>
        <v>Wisp maszkcső és könyök</v>
      </c>
      <c r="C469" s="44"/>
      <c r="D469" s="40" t="str">
        <f>IFERROR(VLOOKUP(C469, Terméklista!I:J, 2, FALSE), "Várom a cikkszámot...")</f>
        <v>Várom a cikkszámot...</v>
      </c>
      <c r="E469" s="40" t="s">
        <v>1262</v>
      </c>
      <c r="F469" s="40"/>
      <c r="G469" s="41" t="s">
        <v>1383</v>
      </c>
    </row>
    <row r="470" spans="1:7" ht="57.6" x14ac:dyDescent="0.3">
      <c r="A470" s="42">
        <v>1090689</v>
      </c>
      <c r="B470" s="40" t="str">
        <f>IFERROR(VLOOKUP(A470, Terméklista!I:J, 2, FALSE), "Várom a cikkszámot...")</f>
        <v>Amara View maszkcső</v>
      </c>
      <c r="C470" s="44"/>
      <c r="D470" s="40" t="str">
        <f>IFERROR(VLOOKUP(C470, Terméklista!I:J, 2, FALSE), "Várom a cikkszámot...")</f>
        <v>Várom a cikkszámot...</v>
      </c>
      <c r="E470" s="40" t="s">
        <v>1312</v>
      </c>
      <c r="F470" s="40"/>
      <c r="G470" s="41" t="s">
        <v>1383</v>
      </c>
    </row>
    <row r="471" spans="1:7" ht="57.6" x14ac:dyDescent="0.3">
      <c r="A471" s="42" t="s">
        <v>1331</v>
      </c>
      <c r="B471" s="40" t="str">
        <f>IFERROR(VLOOKUP(A471, Terméklista!I:J, 2, FALSE), "Várom a cikkszámot...")</f>
        <v>Oxigén T-adapter 1 db</v>
      </c>
      <c r="C471" s="44"/>
      <c r="D471" s="40" t="str">
        <f>IFERROR(VLOOKUP(C471, Terméklista!I:J, 2, FALSE), "Várom a cikkszámot...")</f>
        <v>Várom a cikkszámot...</v>
      </c>
      <c r="E471" s="40" t="s">
        <v>31</v>
      </c>
      <c r="F471" s="40"/>
      <c r="G471" s="41" t="s">
        <v>1405</v>
      </c>
    </row>
    <row r="472" spans="1:7" ht="57.6" x14ac:dyDescent="0.3">
      <c r="A472" s="42">
        <v>1116748</v>
      </c>
      <c r="B472" s="40" t="str">
        <f>IFERROR(VLOOKUP(A472, Terméklista!I:J, 2, FALSE), "Várom a cikkszámot...")</f>
        <v>Dreamwear kilégző adapter</v>
      </c>
      <c r="C472" s="44"/>
      <c r="D472" s="40" t="str">
        <f>IFERROR(VLOOKUP(C472, Terméklista!I:J, 2, FALSE), "Várom a cikkszámot...")</f>
        <v>Várom a cikkszámot...</v>
      </c>
      <c r="E472" s="40" t="s">
        <v>1260</v>
      </c>
      <c r="F472" s="40"/>
      <c r="G472" s="41" t="s">
        <v>1384</v>
      </c>
    </row>
    <row r="473" spans="1:7" ht="57.6" x14ac:dyDescent="0.3">
      <c r="A473" s="42" t="s">
        <v>286</v>
      </c>
      <c r="B473" s="40" t="str">
        <f>IFERROR(VLOOKUP(A473, Terméklista!I:J, 2, FALSE), "Várom a cikkszámot...")</f>
        <v>Gégecső huzat</v>
      </c>
      <c r="C473" s="44"/>
      <c r="D473" s="40" t="str">
        <f>IFERROR(VLOOKUP(C473, Terméklista!I:J, 2, FALSE), "Várom a cikkszámot...")</f>
        <v>Várom a cikkszámot...</v>
      </c>
      <c r="E473" s="40" t="s">
        <v>1392</v>
      </c>
      <c r="F473" s="40"/>
      <c r="G473" s="41" t="s">
        <v>1386</v>
      </c>
    </row>
    <row r="474" spans="1:7" ht="72" x14ac:dyDescent="0.3">
      <c r="A474" s="42" t="s">
        <v>288</v>
      </c>
      <c r="B474" s="40" t="str">
        <f>IFERROR(VLOOKUP(A474, Terméklista!I:J, 2, FALSE), "Várom a cikkszámot...")</f>
        <v>Gégecső SomnoBalance és Prisma készülékhez</v>
      </c>
      <c r="C474" s="44"/>
      <c r="D474" s="40" t="str">
        <f>IFERROR(VLOOKUP(C474, Terméklista!I:J, 2, FALSE), "Várom a cikkszámot...")</f>
        <v>Várom a cikkszámot...</v>
      </c>
      <c r="E474" s="40" t="s">
        <v>1393</v>
      </c>
      <c r="F474" s="40"/>
      <c r="G474" s="41" t="s">
        <v>1385</v>
      </c>
    </row>
    <row r="475" spans="1:7" ht="72" x14ac:dyDescent="0.3">
      <c r="A475" s="42" t="s">
        <v>290</v>
      </c>
      <c r="B475" s="40" t="str">
        <f>IFERROR(VLOOKUP(A475, Terméklista!I:J, 2, FALSE), "Várom a cikkszámot...")</f>
        <v>DreamStation gégecső</v>
      </c>
      <c r="C475" s="44"/>
      <c r="D475" s="40" t="str">
        <f>IFERROR(VLOOKUP(C475, Terméklista!I:J, 2, FALSE), "Várom a cikkszámot...")</f>
        <v>Várom a cikkszámot...</v>
      </c>
      <c r="E475" s="40" t="s">
        <v>1363</v>
      </c>
      <c r="F475" s="40"/>
      <c r="G475" s="41" t="s">
        <v>1385</v>
      </c>
    </row>
    <row r="476" spans="1:7" ht="72" x14ac:dyDescent="0.3">
      <c r="A476" s="42">
        <v>1032907</v>
      </c>
      <c r="B476" s="40" t="str">
        <f>IFERROR(VLOOKUP(A476, Terméklista!I:J, 2, FALSE), "Várom a cikkszámot...")</f>
        <v>gégecső tartós fehér</v>
      </c>
      <c r="C476" s="44"/>
      <c r="D476" s="40" t="str">
        <f>IFERROR(VLOOKUP(C476, Terméklista!I:J, 2, FALSE), "Várom a cikkszámot...")</f>
        <v>Várom a cikkszámot...</v>
      </c>
      <c r="E476" s="40" t="s">
        <v>1257</v>
      </c>
      <c r="F476" s="40"/>
      <c r="G476" s="41" t="s">
        <v>1385</v>
      </c>
    </row>
    <row r="477" spans="1:7" ht="57.6" x14ac:dyDescent="0.3">
      <c r="A477" s="42" t="s">
        <v>295</v>
      </c>
      <c r="B477" s="40" t="str">
        <f>IFERROR(VLOOKUP(A477, Terméklista!I:J, 2, FALSE), "Várom a cikkszámot...")</f>
        <v>DreamStation fűthető gégecső</v>
      </c>
      <c r="C477" s="44"/>
      <c r="D477" s="40" t="str">
        <f>IFERROR(VLOOKUP(C477, Terméklista!I:J, 2, FALSE), "Várom a cikkszámot...")</f>
        <v>Várom a cikkszámot...</v>
      </c>
      <c r="E477" s="40" t="s">
        <v>1363</v>
      </c>
      <c r="F477" s="40"/>
      <c r="G477" s="41" t="s">
        <v>1389</v>
      </c>
    </row>
    <row r="478" spans="1:7" ht="57.6" x14ac:dyDescent="0.3">
      <c r="A478" s="42" t="s">
        <v>302</v>
      </c>
      <c r="B478" s="40" t="str">
        <f>IFERROR(VLOOKUP(A478, Terméklista!I:J, 2, FALSE), "Várom a cikkszámot...")</f>
        <v>prismaAQUA vízkamra</v>
      </c>
      <c r="C478" s="44"/>
      <c r="D478" s="40" t="str">
        <f>IFERROR(VLOOKUP(C478, Terméklista!I:J, 2, FALSE), "Várom a cikkszámot...")</f>
        <v>Várom a cikkszámot...</v>
      </c>
      <c r="E478" s="40" t="s">
        <v>1317</v>
      </c>
      <c r="F478" s="40"/>
      <c r="G478" s="41" t="s">
        <v>1394</v>
      </c>
    </row>
    <row r="479" spans="1:7" ht="57.6" x14ac:dyDescent="0.3">
      <c r="A479" s="42" t="s">
        <v>297</v>
      </c>
      <c r="B479" s="40" t="str">
        <f>IFERROR(VLOOKUP(A479, Terméklista!I:J, 2, FALSE), "Várom a cikkszámot...")</f>
        <v>SOMNOaqua párásító dugó</v>
      </c>
      <c r="C479" s="44"/>
      <c r="D479" s="40" t="str">
        <f>IFERROR(VLOOKUP(C479, Terméklista!I:J, 2, FALSE), "Várom a cikkszámot...")</f>
        <v>Várom a cikkszámot...</v>
      </c>
      <c r="E479" s="40" t="s">
        <v>1253</v>
      </c>
      <c r="F479" s="40"/>
      <c r="G479" s="41" t="s">
        <v>1396</v>
      </c>
    </row>
    <row r="480" spans="1:7" ht="57.6" x14ac:dyDescent="0.3">
      <c r="A480" s="42" t="s">
        <v>1326</v>
      </c>
      <c r="B480" s="40" t="str">
        <f>IFERROR(VLOOKUP(A480, Terméklista!I:J, 2, FALSE), "Várom a cikkszámot...")</f>
        <v>SOMNoaqua párásító gumi</v>
      </c>
      <c r="C480" s="44"/>
      <c r="D480" s="40" t="str">
        <f>IFERROR(VLOOKUP(C480, Terméklista!I:J, 2, FALSE), "Várom a cikkszámot...")</f>
        <v>Várom a cikkszámot...</v>
      </c>
      <c r="E480" s="40" t="s">
        <v>1253</v>
      </c>
      <c r="F480" s="40"/>
      <c r="G480" s="41" t="s">
        <v>1396</v>
      </c>
    </row>
    <row r="481" spans="1:7" ht="57.6" x14ac:dyDescent="0.3">
      <c r="A481" s="42">
        <v>1120670</v>
      </c>
      <c r="B481" s="40" t="str">
        <f>IFERROR(VLOOKUP(A481, Terméklista!I:J, 2, FALSE), "Várom a cikkszámot...")</f>
        <v>DreamStation párásító vízkamra</v>
      </c>
      <c r="C481" s="44"/>
      <c r="D481" s="40" t="str">
        <f>IFERROR(VLOOKUP(C481, Terméklista!I:J, 2, FALSE), "Várom a cikkszámot...")</f>
        <v>Várom a cikkszámot...</v>
      </c>
      <c r="E481" s="40" t="s">
        <v>1250</v>
      </c>
      <c r="F481" s="40"/>
      <c r="G481" s="41" t="s">
        <v>1394</v>
      </c>
    </row>
    <row r="482" spans="1:7" ht="43.2" x14ac:dyDescent="0.3">
      <c r="A482" s="42" t="s">
        <v>1328</v>
      </c>
      <c r="B482" s="40" t="str">
        <f>IFERROR(VLOOKUP(A482, Terméklista!I:J, 2, FALSE), "Várom a cikkszámot...")</f>
        <v>Wilasilent párásodás-mentesítő</v>
      </c>
      <c r="C482" s="44"/>
      <c r="D482" s="40" t="str">
        <f>IFERROR(VLOOKUP(C482, Terméklista!I:J, 2, FALSE), "Várom a cikkszámot...")</f>
        <v>Várom a cikkszámot...</v>
      </c>
      <c r="E482" s="40" t="s">
        <v>31</v>
      </c>
      <c r="F482" s="40"/>
      <c r="G482" s="41" t="s">
        <v>1395</v>
      </c>
    </row>
    <row r="483" spans="1:7" ht="57.6" x14ac:dyDescent="0.3">
      <c r="A483" s="42" t="s">
        <v>305</v>
      </c>
      <c r="B483" s="40" t="str">
        <f>IFERROR(VLOOKUP(A483, Terméklista!I:J, 2, FALSE), "Várom a cikkszámot...")</f>
        <v>prisma DC adapter (12/24V)</v>
      </c>
      <c r="C483" s="44"/>
      <c r="D483" s="40" t="str">
        <f>IFERROR(VLOOKUP(C483, Terméklista!I:J, 2, FALSE), "Várom a cikkszámot...")</f>
        <v>Várom a cikkszámot...</v>
      </c>
      <c r="E483" s="40" t="s">
        <v>1317</v>
      </c>
      <c r="F483" s="40"/>
      <c r="G483" s="41" t="s">
        <v>1397</v>
      </c>
    </row>
    <row r="484" spans="1:7" ht="57.6" x14ac:dyDescent="0.3">
      <c r="A484" s="42" t="s">
        <v>307</v>
      </c>
      <c r="B484" s="40" t="str">
        <f>IFERROR(VLOOKUP(A484, Terméklista!I:J, 2, FALSE), "Várom a cikkszámot...")</f>
        <v>prisma20A tápegység</v>
      </c>
      <c r="C484" s="44"/>
      <c r="D484" s="40" t="str">
        <f>IFERROR(VLOOKUP(C484, Terméklista!I:J, 2, FALSE), "Várom a cikkszámot...")</f>
        <v>Várom a cikkszámot...</v>
      </c>
      <c r="E484" s="40" t="s">
        <v>1317</v>
      </c>
      <c r="F484" s="40"/>
      <c r="G484" s="41" t="s">
        <v>1398</v>
      </c>
    </row>
    <row r="485" spans="1:7" ht="57.6" x14ac:dyDescent="0.3">
      <c r="A485" s="42">
        <v>1118499</v>
      </c>
      <c r="B485" s="40" t="str">
        <f>IFERROR(VLOOKUP(A485, Terméklista!I:J, 2, FALSE), "Várom a cikkszámot...")</f>
        <v>Dreamstation 80W táp</v>
      </c>
      <c r="C485" s="44"/>
      <c r="D485" s="40" t="str">
        <f>IFERROR(VLOOKUP(C485, Terméklista!I:J, 2, FALSE), "Várom a cikkszámot...")</f>
        <v>Várom a cikkszámot...</v>
      </c>
      <c r="E485" s="40" t="s">
        <v>1363</v>
      </c>
      <c r="F485" s="40"/>
      <c r="G485" s="41" t="s">
        <v>1398</v>
      </c>
    </row>
    <row r="486" spans="1:7" ht="57.6" x14ac:dyDescent="0.3">
      <c r="A486" s="42" t="s">
        <v>309</v>
      </c>
      <c r="B486" s="40" t="str">
        <f>IFERROR(VLOOKUP(A486, Terméklista!I:J, 2, FALSE), "Várom a cikkszámot...")</f>
        <v>SOMNObalance tápegység</v>
      </c>
      <c r="C486" s="44"/>
      <c r="D486" s="40" t="str">
        <f>IFERROR(VLOOKUP(C486, Terméklista!I:J, 2, FALSE), "Várom a cikkszámot...")</f>
        <v>Várom a cikkszámot...</v>
      </c>
      <c r="E486" s="40" t="s">
        <v>1253</v>
      </c>
      <c r="F486" s="40"/>
      <c r="G486" s="41" t="s">
        <v>1398</v>
      </c>
    </row>
    <row r="487" spans="1:7" ht="57.6" x14ac:dyDescent="0.3">
      <c r="A487" s="42">
        <v>1091399</v>
      </c>
      <c r="B487" s="40" t="str">
        <f>IFERROR(VLOOKUP(A487, Terméklista!I:J, 2, FALSE), "Várom a cikkszámot...")</f>
        <v>Remstar tápegység</v>
      </c>
      <c r="C487" s="44"/>
      <c r="D487" s="40" t="str">
        <f>IFERROR(VLOOKUP(C487, Terméklista!I:J, 2, FALSE), "Várom a cikkszámot...")</f>
        <v>Várom a cikkszámot...</v>
      </c>
      <c r="E487" s="40" t="s">
        <v>1257</v>
      </c>
      <c r="F487" s="40"/>
      <c r="G487" s="41" t="s">
        <v>1398</v>
      </c>
    </row>
    <row r="488" spans="1:7" ht="57.6" x14ac:dyDescent="0.3">
      <c r="A488" s="42">
        <v>1097568</v>
      </c>
      <c r="B488" s="40" t="str">
        <f>IFERROR(VLOOKUP(A488, Terméklista!I:J, 2, FALSE), "Várom a cikkszámot...")</f>
        <v>Remstar szivargyújtós tápegység</v>
      </c>
      <c r="C488" s="44"/>
      <c r="D488" s="40" t="str">
        <f>IFERROR(VLOOKUP(C488, Terméklista!I:J, 2, FALSE), "Várom a cikkszámot...")</f>
        <v>Várom a cikkszámot...</v>
      </c>
      <c r="E488" s="40" t="s">
        <v>1257</v>
      </c>
      <c r="F488" s="40"/>
      <c r="G488" s="41" t="s">
        <v>1397</v>
      </c>
    </row>
    <row r="489" spans="1:7" x14ac:dyDescent="0.3">
      <c r="A489" s="42">
        <v>1012975</v>
      </c>
      <c r="B489" s="40" t="str">
        <f>IFERROR(VLOOKUP(A489, Terméklista!I:J, 2, FALSE), "Várom a cikkszámot...")</f>
        <v>12V-os tápkábel BiPAP Pro 2 típusú készülékhez</v>
      </c>
      <c r="C489" s="44"/>
      <c r="D489" s="40" t="str">
        <f>IFERROR(VLOOKUP(C489, Terméklista!I:J, 2, FALSE), "Várom a cikkszámot...")</f>
        <v>Várom a cikkszámot...</v>
      </c>
      <c r="E489" s="40" t="s">
        <v>31</v>
      </c>
      <c r="F489" s="40"/>
      <c r="G489" s="41"/>
    </row>
    <row r="490" spans="1:7" ht="57.6" x14ac:dyDescent="0.3">
      <c r="A490" s="42" t="s">
        <v>317</v>
      </c>
      <c r="B490" s="40" t="str">
        <f>IFERROR(VLOOKUP(A490, Terméklista!I:J, 2, FALSE), "Várom a cikkszámot...")</f>
        <v>Reventil orrspray</v>
      </c>
      <c r="C490" s="44"/>
      <c r="D490" s="40" t="str">
        <f>IFERROR(VLOOKUP(C490, Terméklista!I:J, 2, FALSE), "Várom a cikkszámot...")</f>
        <v>Várom a cikkszámot...</v>
      </c>
      <c r="E490" s="40" t="s">
        <v>31</v>
      </c>
      <c r="F490" s="40"/>
      <c r="G490" s="41" t="s">
        <v>1399</v>
      </c>
    </row>
    <row r="491" spans="1:7" ht="57.6" x14ac:dyDescent="0.3">
      <c r="A491" s="42" t="s">
        <v>320</v>
      </c>
      <c r="B491" s="40" t="str">
        <f>IFERROR(VLOOKUP(A491, Terméklista!I:J, 2, FALSE), "Várom a cikkszámot...")</f>
        <v>Somno SD-kártya</v>
      </c>
      <c r="C491" s="44"/>
      <c r="D491" s="40" t="str">
        <f>IFERROR(VLOOKUP(C491, Terméklista!I:J, 2, FALSE), "Várom a cikkszámot...")</f>
        <v>Várom a cikkszámot...</v>
      </c>
      <c r="E491" s="40" t="s">
        <v>1393</v>
      </c>
      <c r="F491" s="40"/>
      <c r="G491" s="41" t="s">
        <v>1400</v>
      </c>
    </row>
    <row r="492" spans="1:7" ht="57.6" x14ac:dyDescent="0.3">
      <c r="A492" s="54" t="s">
        <v>322</v>
      </c>
      <c r="B492" s="40" t="str">
        <f>IFERROR(VLOOKUP(A492, Terméklista!I:J, 2, FALSE), "Várom a cikkszámot...")</f>
        <v>SD memória kártya 1 db</v>
      </c>
      <c r="C492" s="56"/>
      <c r="D492" s="40" t="str">
        <f>IFERROR(VLOOKUP(C492, Terméklista!I:J, 2, FALSE), "Várom a cikkszámot...")</f>
        <v>Várom a cikkszámot...</v>
      </c>
      <c r="E492" s="55" t="s">
        <v>1404</v>
      </c>
      <c r="F492" s="57"/>
      <c r="G492" s="41" t="s">
        <v>1400</v>
      </c>
    </row>
    <row r="493" spans="1:7" ht="43.2" x14ac:dyDescent="0.3">
      <c r="A493" s="42" t="s">
        <v>329</v>
      </c>
      <c r="B493" s="40" t="str">
        <f>IFERROR(VLOOKUP(A493, Terméklista!I:J, 2, FALSE), "Várom a cikkszámot...")</f>
        <v>UI Knob</v>
      </c>
      <c r="C493" s="44"/>
      <c r="D493" s="40" t="str">
        <f>IFERROR(VLOOKUP(C493, Terméklista!I:J, 2, FALSE), "Várom a cikkszámot...")</f>
        <v>Várom a cikkszámot...</v>
      </c>
      <c r="E493" s="40" t="s">
        <v>1257</v>
      </c>
      <c r="F493" s="40"/>
      <c r="G493" s="41" t="s">
        <v>1401</v>
      </c>
    </row>
    <row r="494" spans="1:7" x14ac:dyDescent="0.3">
      <c r="A494" s="42"/>
      <c r="B494" s="40" t="str">
        <f>IFERROR(VLOOKUP(A494, Terméklista!I:J, 2, FALSE), "Várom a cikkszámot...")</f>
        <v>Várom a cikkszámot...</v>
      </c>
      <c r="C494" s="44"/>
      <c r="D494" s="40" t="str">
        <f>IFERROR(VLOOKUP(C494, Terméklista!I:J, 2, FALSE), "Várom a cikkszámot...")</f>
        <v>Várom a cikkszámot...</v>
      </c>
      <c r="E494" s="40"/>
      <c r="F494" s="40"/>
      <c r="G494" s="41"/>
    </row>
    <row r="495" spans="1:7" x14ac:dyDescent="0.3">
      <c r="A495" s="42"/>
      <c r="B495" s="40" t="str">
        <f>IFERROR(VLOOKUP(A495, Terméklista!I:J, 2, FALSE), "Várom a cikkszámot...")</f>
        <v>Várom a cikkszámot...</v>
      </c>
      <c r="C495" s="44"/>
      <c r="D495" s="40" t="str">
        <f>IFERROR(VLOOKUP(C495, Terméklista!I:J, 2, FALSE), "Várom a cikkszámot...")</f>
        <v>Várom a cikkszámot...</v>
      </c>
      <c r="E495" s="40"/>
      <c r="F495" s="40"/>
      <c r="G495" s="41"/>
    </row>
    <row r="496" spans="1:7" x14ac:dyDescent="0.3">
      <c r="A496" s="42"/>
      <c r="B496" s="40" t="str">
        <f>IFERROR(VLOOKUP(A496, Terméklista!I:J, 2, FALSE), "Várom a cikkszámot...")</f>
        <v>Várom a cikkszámot...</v>
      </c>
      <c r="C496" s="44"/>
      <c r="D496" s="40" t="str">
        <f>IFERROR(VLOOKUP(C496, Terméklista!I:J, 2, FALSE), "Várom a cikkszámot...")</f>
        <v>Várom a cikkszámot...</v>
      </c>
      <c r="E496" s="40"/>
      <c r="F496" s="40"/>
      <c r="G496" s="41"/>
    </row>
    <row r="497" spans="1:7" x14ac:dyDescent="0.3">
      <c r="A497" s="42"/>
      <c r="B497" s="40" t="str">
        <f>IFERROR(VLOOKUP(A497, Terméklista!I:J, 2, FALSE), "Várom a cikkszámot...")</f>
        <v>Várom a cikkszámot...</v>
      </c>
      <c r="C497" s="44"/>
      <c r="D497" s="40" t="str">
        <f>IFERROR(VLOOKUP(C497, Terméklista!I:J, 2, FALSE), "Várom a cikkszámot...")</f>
        <v>Várom a cikkszámot...</v>
      </c>
      <c r="E497" s="40"/>
      <c r="F497" s="40"/>
      <c r="G497" s="41"/>
    </row>
    <row r="498" spans="1:7" x14ac:dyDescent="0.3">
      <c r="A498" s="42"/>
      <c r="B498" s="40" t="str">
        <f>IFERROR(VLOOKUP(A498, Terméklista!I:J, 2, FALSE), "Várom a cikkszámot...")</f>
        <v>Várom a cikkszámot...</v>
      </c>
      <c r="C498" s="44"/>
      <c r="D498" s="40" t="str">
        <f>IFERROR(VLOOKUP(C498, Terméklista!I:J, 2, FALSE), "Várom a cikkszámot...")</f>
        <v>Várom a cikkszámot...</v>
      </c>
      <c r="E498" s="40"/>
      <c r="F498" s="40"/>
      <c r="G498" s="41"/>
    </row>
    <row r="499" spans="1:7" x14ac:dyDescent="0.3">
      <c r="A499" s="42"/>
      <c r="B499" s="40" t="str">
        <f>IFERROR(VLOOKUP(A499, Terméklista!I:J, 2, FALSE), "Várom a cikkszámot...")</f>
        <v>Várom a cikkszámot...</v>
      </c>
      <c r="C499" s="44"/>
      <c r="D499" s="40" t="str">
        <f>IFERROR(VLOOKUP(C499, Terméklista!I:J, 2, FALSE), "Várom a cikkszámot...")</f>
        <v>Várom a cikkszámot...</v>
      </c>
      <c r="E499" s="40"/>
      <c r="F499" s="40"/>
      <c r="G499" s="41"/>
    </row>
    <row r="500" spans="1:7" x14ac:dyDescent="0.3">
      <c r="A500" s="42"/>
      <c r="B500" s="40" t="str">
        <f>IFERROR(VLOOKUP(A500, Terméklista!I:J, 2, FALSE), "Várom a cikkszámot...")</f>
        <v>Várom a cikkszámot...</v>
      </c>
      <c r="C500" s="44"/>
      <c r="D500" s="40" t="str">
        <f>IFERROR(VLOOKUP(C500, Terméklista!I:J, 2, FALSE), "Várom a cikkszámot...")</f>
        <v>Várom a cikkszámot...</v>
      </c>
      <c r="E500" s="40"/>
      <c r="F500" s="40"/>
      <c r="G500" s="41"/>
    </row>
    <row r="501" spans="1:7" x14ac:dyDescent="0.3">
      <c r="A501" s="42"/>
      <c r="B501" s="40" t="str">
        <f>IFERROR(VLOOKUP(A501, Terméklista!I:J, 2, FALSE), "Várom a cikkszámot...")</f>
        <v>Várom a cikkszámot...</v>
      </c>
      <c r="C501" s="44"/>
      <c r="D501" s="40" t="str">
        <f>IFERROR(VLOOKUP(C501, Terméklista!I:J, 2, FALSE), "Várom a cikkszámot...")</f>
        <v>Várom a cikkszámot...</v>
      </c>
      <c r="E501" s="40"/>
      <c r="F501" s="40"/>
      <c r="G501" s="41"/>
    </row>
    <row r="502" spans="1:7" x14ac:dyDescent="0.3">
      <c r="A502" s="42"/>
      <c r="B502" s="40" t="str">
        <f>IFERROR(VLOOKUP(A502, Terméklista!I:J, 2, FALSE), "Várom a cikkszámot...")</f>
        <v>Várom a cikkszámot...</v>
      </c>
      <c r="C502" s="44"/>
      <c r="D502" s="40" t="str">
        <f>IFERROR(VLOOKUP(C502, Terméklista!I:J, 2, FALSE), "Várom a cikkszámot...")</f>
        <v>Várom a cikkszámot...</v>
      </c>
      <c r="E502" s="40"/>
      <c r="F502" s="40"/>
      <c r="G502" s="41"/>
    </row>
    <row r="503" spans="1:7" x14ac:dyDescent="0.3">
      <c r="A503" s="42"/>
      <c r="B503" s="40" t="str">
        <f>IFERROR(VLOOKUP(A503, Terméklista!I:J, 2, FALSE), "Várom a cikkszámot...")</f>
        <v>Várom a cikkszámot...</v>
      </c>
      <c r="C503" s="44"/>
      <c r="D503" s="40" t="str">
        <f>IFERROR(VLOOKUP(C503, Terméklista!I:J, 2, FALSE), "Várom a cikkszámot...")</f>
        <v>Várom a cikkszámot...</v>
      </c>
      <c r="E503" s="40"/>
      <c r="F503" s="40"/>
      <c r="G503" s="41"/>
    </row>
    <row r="504" spans="1:7" x14ac:dyDescent="0.3">
      <c r="A504" s="42"/>
      <c r="B504" s="40" t="str">
        <f>IFERROR(VLOOKUP(A504, Terméklista!I:J, 2, FALSE), "Várom a cikkszámot...")</f>
        <v>Várom a cikkszámot...</v>
      </c>
      <c r="C504" s="44"/>
      <c r="D504" s="40" t="str">
        <f>IFERROR(VLOOKUP(C504, Terméklista!I:J, 2, FALSE), "Várom a cikkszámot...")</f>
        <v>Várom a cikkszámot...</v>
      </c>
      <c r="E504" s="40"/>
      <c r="F504" s="40"/>
      <c r="G504" s="41"/>
    </row>
    <row r="505" spans="1:7" x14ac:dyDescent="0.3">
      <c r="A505" s="42"/>
      <c r="B505" s="40" t="str">
        <f>IFERROR(VLOOKUP(A505, Terméklista!I:J, 2, FALSE), "Várom a cikkszámot...")</f>
        <v>Várom a cikkszámot...</v>
      </c>
      <c r="C505" s="44"/>
      <c r="D505" s="40" t="str">
        <f>IFERROR(VLOOKUP(C505, Terméklista!I:J, 2, FALSE), "Várom a cikkszámot...")</f>
        <v>Várom a cikkszámot...</v>
      </c>
      <c r="E505" s="40"/>
      <c r="F505" s="40"/>
      <c r="G505" s="41"/>
    </row>
    <row r="506" spans="1:7" x14ac:dyDescent="0.3">
      <c r="A506" s="42"/>
      <c r="B506" s="40" t="str">
        <f>IFERROR(VLOOKUP(A506, Terméklista!I:J, 2, FALSE), "Várom a cikkszámot...")</f>
        <v>Várom a cikkszámot...</v>
      </c>
      <c r="C506" s="44"/>
      <c r="D506" s="40" t="str">
        <f>IFERROR(VLOOKUP(C506, Terméklista!I:J, 2, FALSE), "Várom a cikkszámot...")</f>
        <v>Várom a cikkszámot...</v>
      </c>
      <c r="E506" s="40"/>
      <c r="F506" s="40"/>
      <c r="G506" s="41"/>
    </row>
    <row r="507" spans="1:7" x14ac:dyDescent="0.3">
      <c r="A507" s="42"/>
      <c r="B507" s="40" t="str">
        <f>IFERROR(VLOOKUP(A507, Terméklista!I:J, 2, FALSE), "Várom a cikkszámot...")</f>
        <v>Várom a cikkszámot...</v>
      </c>
      <c r="C507" s="44"/>
      <c r="D507" s="40" t="str">
        <f>IFERROR(VLOOKUP(C507, Terméklista!I:J, 2, FALSE), "Várom a cikkszámot...")</f>
        <v>Várom a cikkszámot...</v>
      </c>
      <c r="E507" s="40"/>
      <c r="F507" s="40"/>
      <c r="G507" s="41"/>
    </row>
    <row r="508" spans="1:7" x14ac:dyDescent="0.3">
      <c r="A508" s="42"/>
      <c r="B508" s="40" t="str">
        <f>IFERROR(VLOOKUP(A508, Terméklista!I:J, 2, FALSE), "Várom a cikkszámot...")</f>
        <v>Várom a cikkszámot...</v>
      </c>
      <c r="C508" s="44"/>
      <c r="D508" s="40" t="str">
        <f>IFERROR(VLOOKUP(C508, Terméklista!I:J, 2, FALSE), "Várom a cikkszámot...")</f>
        <v>Várom a cikkszámot...</v>
      </c>
      <c r="E508" s="40"/>
      <c r="F508" s="40"/>
      <c r="G508" s="41"/>
    </row>
    <row r="509" spans="1:7" x14ac:dyDescent="0.3">
      <c r="A509" s="42"/>
      <c r="B509" s="40" t="str">
        <f>IFERROR(VLOOKUP(A509, Terméklista!I:J, 2, FALSE), "Várom a cikkszámot...")</f>
        <v>Várom a cikkszámot...</v>
      </c>
      <c r="C509" s="44"/>
      <c r="D509" s="40" t="str">
        <f>IFERROR(VLOOKUP(C509, Terméklista!I:J, 2, FALSE), "Várom a cikkszámot...")</f>
        <v>Várom a cikkszámot...</v>
      </c>
      <c r="E509" s="40"/>
      <c r="F509" s="40"/>
      <c r="G509" s="41"/>
    </row>
    <row r="510" spans="1:7" x14ac:dyDescent="0.3">
      <c r="A510" s="42"/>
      <c r="B510" s="40" t="str">
        <f>IFERROR(VLOOKUP(A510, Terméklista!I:J, 2, FALSE), "Várom a cikkszámot...")</f>
        <v>Várom a cikkszámot...</v>
      </c>
      <c r="C510" s="44"/>
      <c r="D510" s="40" t="str">
        <f>IFERROR(VLOOKUP(C510, Terméklista!I:J, 2, FALSE), "Várom a cikkszámot...")</f>
        <v>Várom a cikkszámot...</v>
      </c>
      <c r="E510" s="40"/>
      <c r="F510" s="40"/>
      <c r="G510" s="41"/>
    </row>
    <row r="511" spans="1:7" x14ac:dyDescent="0.3">
      <c r="A511" s="42"/>
      <c r="B511" s="40" t="str">
        <f>IFERROR(VLOOKUP(A511, Terméklista!I:J, 2, FALSE), "Várom a cikkszámot...")</f>
        <v>Várom a cikkszámot...</v>
      </c>
      <c r="C511" s="44"/>
      <c r="D511" s="40" t="str">
        <f>IFERROR(VLOOKUP(C511, Terméklista!I:J, 2, FALSE), "Várom a cikkszámot...")</f>
        <v>Várom a cikkszámot...</v>
      </c>
      <c r="E511" s="40"/>
      <c r="F511" s="40"/>
      <c r="G511" s="41"/>
    </row>
    <row r="512" spans="1:7" x14ac:dyDescent="0.3">
      <c r="A512" s="42"/>
      <c r="B512" s="40" t="str">
        <f>IFERROR(VLOOKUP(A512, Terméklista!I:J, 2, FALSE), "Várom a cikkszámot...")</f>
        <v>Várom a cikkszámot...</v>
      </c>
      <c r="C512" s="44"/>
      <c r="D512" s="40" t="str">
        <f>IFERROR(VLOOKUP(C512, Terméklista!I:J, 2, FALSE), "Várom a cikkszámot...")</f>
        <v>Várom a cikkszámot...</v>
      </c>
      <c r="E512" s="40"/>
      <c r="F512" s="40"/>
      <c r="G512" s="41"/>
    </row>
    <row r="513" spans="1:7" x14ac:dyDescent="0.3">
      <c r="A513" s="42"/>
      <c r="B513" s="40" t="str">
        <f>IFERROR(VLOOKUP(A513, Terméklista!I:J, 2, FALSE), "Várom a cikkszámot...")</f>
        <v>Várom a cikkszámot...</v>
      </c>
      <c r="C513" s="44"/>
      <c r="D513" s="40" t="str">
        <f>IFERROR(VLOOKUP(C513, Terméklista!I:J, 2, FALSE), "Várom a cikkszámot...")</f>
        <v>Várom a cikkszámot...</v>
      </c>
      <c r="E513" s="40"/>
      <c r="F513" s="40"/>
      <c r="G513" s="41"/>
    </row>
    <row r="514" spans="1:7" x14ac:dyDescent="0.3">
      <c r="A514" s="42"/>
      <c r="B514" s="40" t="str">
        <f>IFERROR(VLOOKUP(A514, Terméklista!I:J, 2, FALSE), "Várom a cikkszámot...")</f>
        <v>Várom a cikkszámot...</v>
      </c>
      <c r="C514" s="44"/>
      <c r="D514" s="40" t="str">
        <f>IFERROR(VLOOKUP(C514, Terméklista!I:J, 2, FALSE), "Várom a cikkszámot...")</f>
        <v>Várom a cikkszámot...</v>
      </c>
      <c r="E514" s="40"/>
      <c r="F514" s="40"/>
      <c r="G514" s="41"/>
    </row>
    <row r="515" spans="1:7" x14ac:dyDescent="0.3">
      <c r="A515" s="42"/>
      <c r="B515" s="40" t="str">
        <f>IFERROR(VLOOKUP(A515, Terméklista!I:J, 2, FALSE), "Várom a cikkszámot...")</f>
        <v>Várom a cikkszámot...</v>
      </c>
      <c r="C515" s="44"/>
      <c r="D515" s="40" t="str">
        <f>IFERROR(VLOOKUP(C515, Terméklista!I:J, 2, FALSE), "Várom a cikkszámot...")</f>
        <v>Várom a cikkszámot...</v>
      </c>
      <c r="E515" s="40"/>
      <c r="F515" s="40"/>
      <c r="G515" s="41"/>
    </row>
    <row r="516" spans="1:7" x14ac:dyDescent="0.3">
      <c r="A516" s="42"/>
      <c r="B516" s="40" t="str">
        <f>IFERROR(VLOOKUP(A516, Terméklista!I:J, 2, FALSE), "Várom a cikkszámot...")</f>
        <v>Várom a cikkszámot...</v>
      </c>
      <c r="C516" s="44"/>
      <c r="D516" s="40" t="str">
        <f>IFERROR(VLOOKUP(C516, Terméklista!I:J, 2, FALSE), "Várom a cikkszámot...")</f>
        <v>Várom a cikkszámot...</v>
      </c>
      <c r="E516" s="40"/>
      <c r="F516" s="40"/>
      <c r="G516" s="41"/>
    </row>
    <row r="517" spans="1:7" x14ac:dyDescent="0.3">
      <c r="A517" s="42"/>
      <c r="B517" s="40" t="str">
        <f>IFERROR(VLOOKUP(A517, Terméklista!I:J, 2, FALSE), "Várom a cikkszámot...")</f>
        <v>Várom a cikkszámot...</v>
      </c>
      <c r="C517" s="44"/>
      <c r="D517" s="40" t="str">
        <f>IFERROR(VLOOKUP(C517, Terméklista!I:J, 2, FALSE), "Várom a cikkszámot...")</f>
        <v>Várom a cikkszámot...</v>
      </c>
      <c r="E517" s="40"/>
      <c r="F517" s="40"/>
      <c r="G517" s="41"/>
    </row>
    <row r="518" spans="1:7" x14ac:dyDescent="0.3">
      <c r="A518" s="42"/>
      <c r="B518" s="40" t="str">
        <f>IFERROR(VLOOKUP(A518, Terméklista!I:J, 2, FALSE), "Várom a cikkszámot...")</f>
        <v>Várom a cikkszámot...</v>
      </c>
      <c r="C518" s="44"/>
      <c r="D518" s="40" t="str">
        <f>IFERROR(VLOOKUP(C518, Terméklista!I:J, 2, FALSE), "Várom a cikkszámot...")</f>
        <v>Várom a cikkszámot...</v>
      </c>
      <c r="E518" s="40"/>
      <c r="F518" s="40"/>
      <c r="G518" s="41"/>
    </row>
    <row r="519" spans="1:7" x14ac:dyDescent="0.3">
      <c r="A519" s="42"/>
      <c r="B519" s="40" t="str">
        <f>IFERROR(VLOOKUP(A519, Terméklista!I:J, 2, FALSE), "Várom a cikkszámot...")</f>
        <v>Várom a cikkszámot...</v>
      </c>
      <c r="C519" s="44"/>
      <c r="D519" s="40" t="str">
        <f>IFERROR(VLOOKUP(C519, Terméklista!I:J, 2, FALSE), "Várom a cikkszámot...")</f>
        <v>Várom a cikkszámot...</v>
      </c>
      <c r="E519" s="40"/>
      <c r="F519" s="40"/>
      <c r="G519" s="41"/>
    </row>
    <row r="520" spans="1:7" x14ac:dyDescent="0.3">
      <c r="A520" s="42"/>
      <c r="B520" s="40" t="str">
        <f>IFERROR(VLOOKUP(A520, Terméklista!I:J, 2, FALSE), "Várom a cikkszámot...")</f>
        <v>Várom a cikkszámot...</v>
      </c>
      <c r="C520" s="44"/>
      <c r="D520" s="40" t="str">
        <f>IFERROR(VLOOKUP(C520, Terméklista!I:J, 2, FALSE), "Várom a cikkszámot...")</f>
        <v>Várom a cikkszámot...</v>
      </c>
      <c r="E520" s="40"/>
      <c r="F520" s="40"/>
      <c r="G520" s="41"/>
    </row>
    <row r="521" spans="1:7" x14ac:dyDescent="0.3">
      <c r="A521" s="42"/>
      <c r="B521" s="40" t="str">
        <f>IFERROR(VLOOKUP(A521, Terméklista!I:J, 2, FALSE), "Várom a cikkszámot...")</f>
        <v>Várom a cikkszámot...</v>
      </c>
      <c r="C521" s="44"/>
      <c r="D521" s="40" t="str">
        <f>IFERROR(VLOOKUP(C521, Terméklista!I:J, 2, FALSE), "Várom a cikkszámot...")</f>
        <v>Várom a cikkszámot...</v>
      </c>
      <c r="E521" s="40"/>
      <c r="F521" s="40"/>
      <c r="G521" s="41"/>
    </row>
    <row r="522" spans="1:7" x14ac:dyDescent="0.3">
      <c r="A522" s="42"/>
      <c r="B522" s="40" t="str">
        <f>IFERROR(VLOOKUP(A522, Terméklista!I:J, 2, FALSE), "Várom a cikkszámot...")</f>
        <v>Várom a cikkszámot...</v>
      </c>
      <c r="C522" s="44"/>
      <c r="D522" s="40" t="str">
        <f>IFERROR(VLOOKUP(C522, Terméklista!I:J, 2, FALSE), "Várom a cikkszámot...")</f>
        <v>Várom a cikkszámot...</v>
      </c>
      <c r="E522" s="40"/>
      <c r="F522" s="40"/>
      <c r="G522" s="41"/>
    </row>
    <row r="523" spans="1:7" x14ac:dyDescent="0.3">
      <c r="A523" s="42"/>
      <c r="B523" s="40" t="str">
        <f>IFERROR(VLOOKUP(A523, Terméklista!I:J, 2, FALSE), "Várom a cikkszámot...")</f>
        <v>Várom a cikkszámot...</v>
      </c>
      <c r="C523" s="44"/>
      <c r="D523" s="40" t="str">
        <f>IFERROR(VLOOKUP(C523, Terméklista!I:J, 2, FALSE), "Várom a cikkszámot...")</f>
        <v>Várom a cikkszámot...</v>
      </c>
      <c r="E523" s="40"/>
      <c r="F523" s="40"/>
      <c r="G523" s="41"/>
    </row>
    <row r="524" spans="1:7" x14ac:dyDescent="0.3">
      <c r="A524" s="42"/>
      <c r="B524" s="40" t="str">
        <f>IFERROR(VLOOKUP(A524, Terméklista!I:J, 2, FALSE), "Várom a cikkszámot...")</f>
        <v>Várom a cikkszámot...</v>
      </c>
      <c r="C524" s="44"/>
      <c r="D524" s="40" t="str">
        <f>IFERROR(VLOOKUP(C524, Terméklista!I:J, 2, FALSE), "Várom a cikkszámot...")</f>
        <v>Várom a cikkszámot...</v>
      </c>
      <c r="E524" s="40"/>
      <c r="F524" s="40"/>
      <c r="G524" s="41"/>
    </row>
    <row r="525" spans="1:7" x14ac:dyDescent="0.3">
      <c r="A525" s="42"/>
      <c r="B525" s="40" t="str">
        <f>IFERROR(VLOOKUP(A525, Terméklista!I:J, 2, FALSE), "Várom a cikkszámot...")</f>
        <v>Várom a cikkszámot...</v>
      </c>
      <c r="C525" s="44"/>
      <c r="D525" s="40" t="str">
        <f>IFERROR(VLOOKUP(C525, Terméklista!I:J, 2, FALSE), "Várom a cikkszámot...")</f>
        <v>Várom a cikkszámot...</v>
      </c>
      <c r="E525" s="40"/>
      <c r="F525" s="40"/>
      <c r="G525" s="41"/>
    </row>
    <row r="526" spans="1:7" x14ac:dyDescent="0.3">
      <c r="A526" s="42"/>
      <c r="B526" s="40" t="str">
        <f>IFERROR(VLOOKUP(A526, Terméklista!I:J, 2, FALSE), "Várom a cikkszámot...")</f>
        <v>Várom a cikkszámot...</v>
      </c>
      <c r="C526" s="44"/>
      <c r="D526" s="40" t="str">
        <f>IFERROR(VLOOKUP(C526, Terméklista!I:J, 2, FALSE), "Várom a cikkszámot...")</f>
        <v>Várom a cikkszámot...</v>
      </c>
      <c r="E526" s="40"/>
      <c r="F526" s="40"/>
      <c r="G526" s="41"/>
    </row>
    <row r="527" spans="1:7" x14ac:dyDescent="0.3">
      <c r="A527" s="42"/>
      <c r="B527" s="40" t="str">
        <f>IFERROR(VLOOKUP(A527, Terméklista!I:J, 2, FALSE), "Várom a cikkszámot...")</f>
        <v>Várom a cikkszámot...</v>
      </c>
      <c r="C527" s="44"/>
      <c r="D527" s="40" t="str">
        <f>IFERROR(VLOOKUP(C527, Terméklista!I:J, 2, FALSE), "Várom a cikkszámot...")</f>
        <v>Várom a cikkszámot...</v>
      </c>
      <c r="E527" s="40"/>
      <c r="F527" s="40"/>
      <c r="G527" s="41"/>
    </row>
    <row r="528" spans="1:7" x14ac:dyDescent="0.3">
      <c r="A528" s="42"/>
      <c r="B528" s="40" t="str">
        <f>IFERROR(VLOOKUP(A528, Terméklista!I:J, 2, FALSE), "Várom a cikkszámot...")</f>
        <v>Várom a cikkszámot...</v>
      </c>
      <c r="C528" s="44"/>
      <c r="D528" s="40" t="str">
        <f>IFERROR(VLOOKUP(C528, Terméklista!I:J, 2, FALSE), "Várom a cikkszámot...")</f>
        <v>Várom a cikkszámot...</v>
      </c>
      <c r="E528" s="40"/>
      <c r="F528" s="40"/>
      <c r="G528" s="41"/>
    </row>
    <row r="529" spans="1:7" x14ac:dyDescent="0.3">
      <c r="A529" s="42"/>
      <c r="B529" s="40" t="str">
        <f>IFERROR(VLOOKUP(A529, Terméklista!I:J, 2, FALSE), "Várom a cikkszámot...")</f>
        <v>Várom a cikkszámot...</v>
      </c>
      <c r="C529" s="44"/>
      <c r="D529" s="40" t="str">
        <f>IFERROR(VLOOKUP(C529, Terméklista!I:J, 2, FALSE), "Várom a cikkszámot...")</f>
        <v>Várom a cikkszámot...</v>
      </c>
      <c r="E529" s="40"/>
      <c r="F529" s="40"/>
      <c r="G529" s="41"/>
    </row>
    <row r="530" spans="1:7" x14ac:dyDescent="0.3">
      <c r="A530" s="42"/>
      <c r="B530" s="40" t="str">
        <f>IFERROR(VLOOKUP(A530, Terméklista!I:J, 2, FALSE), "Várom a cikkszámot...")</f>
        <v>Várom a cikkszámot...</v>
      </c>
      <c r="C530" s="44"/>
      <c r="D530" s="40" t="str">
        <f>IFERROR(VLOOKUP(C530, Terméklista!I:J, 2, FALSE), "Várom a cikkszámot...")</f>
        <v>Várom a cikkszámot...</v>
      </c>
      <c r="E530" s="40"/>
      <c r="F530" s="40"/>
      <c r="G530" s="41"/>
    </row>
    <row r="531" spans="1:7" x14ac:dyDescent="0.3">
      <c r="A531" s="42"/>
      <c r="B531" s="40" t="str">
        <f>IFERROR(VLOOKUP(A531, Terméklista!I:J, 2, FALSE), "Várom a cikkszámot...")</f>
        <v>Várom a cikkszámot...</v>
      </c>
      <c r="C531" s="44"/>
      <c r="D531" s="40" t="str">
        <f>IFERROR(VLOOKUP(C531, Terméklista!I:J, 2, FALSE), "Várom a cikkszámot...")</f>
        <v>Várom a cikkszámot...</v>
      </c>
      <c r="E531" s="40"/>
      <c r="F531" s="40"/>
      <c r="G531" s="41"/>
    </row>
    <row r="532" spans="1:7" x14ac:dyDescent="0.3">
      <c r="A532" s="42"/>
      <c r="B532" s="40" t="str">
        <f>IFERROR(VLOOKUP(A532, Terméklista!I:J, 2, FALSE), "Várom a cikkszámot...")</f>
        <v>Várom a cikkszámot...</v>
      </c>
      <c r="C532" s="44"/>
      <c r="D532" s="40" t="str">
        <f>IFERROR(VLOOKUP(C532, Terméklista!I:J, 2, FALSE), "Várom a cikkszámot...")</f>
        <v>Várom a cikkszámot...</v>
      </c>
      <c r="E532" s="40"/>
      <c r="F532" s="40"/>
      <c r="G532" s="41"/>
    </row>
    <row r="533" spans="1:7" x14ac:dyDescent="0.3">
      <c r="A533" s="42"/>
      <c r="B533" s="40" t="str">
        <f>IFERROR(VLOOKUP(A533, Terméklista!I:J, 2, FALSE), "Várom a cikkszámot...")</f>
        <v>Várom a cikkszámot...</v>
      </c>
      <c r="C533" s="44"/>
      <c r="D533" s="40" t="str">
        <f>IFERROR(VLOOKUP(C533, Terméklista!I:J, 2, FALSE), "Várom a cikkszámot...")</f>
        <v>Várom a cikkszámot...</v>
      </c>
      <c r="E533" s="40"/>
      <c r="F533" s="40"/>
      <c r="G533" s="41"/>
    </row>
    <row r="534" spans="1:7" x14ac:dyDescent="0.3">
      <c r="A534" s="42"/>
      <c r="B534" s="40" t="str">
        <f>IFERROR(VLOOKUP(A534, Terméklista!I:J, 2, FALSE), "Várom a cikkszámot...")</f>
        <v>Várom a cikkszámot...</v>
      </c>
      <c r="C534" s="44"/>
      <c r="D534" s="40" t="str">
        <f>IFERROR(VLOOKUP(C534, Terméklista!I:J, 2, FALSE), "Várom a cikkszámot...")</f>
        <v>Várom a cikkszámot...</v>
      </c>
      <c r="E534" s="40"/>
      <c r="F534" s="40"/>
      <c r="G534" s="41"/>
    </row>
    <row r="535" spans="1:7" x14ac:dyDescent="0.3">
      <c r="A535" s="42"/>
      <c r="B535" s="40" t="str">
        <f>IFERROR(VLOOKUP(A535, Terméklista!I:J, 2, FALSE), "Várom a cikkszámot...")</f>
        <v>Várom a cikkszámot...</v>
      </c>
      <c r="C535" s="44"/>
      <c r="D535" s="40" t="str">
        <f>IFERROR(VLOOKUP(C535, Terméklista!I:J, 2, FALSE), "Várom a cikkszámot...")</f>
        <v>Várom a cikkszámot...</v>
      </c>
      <c r="E535" s="40"/>
      <c r="F535" s="40"/>
      <c r="G535" s="41"/>
    </row>
    <row r="536" spans="1:7" x14ac:dyDescent="0.3">
      <c r="A536" s="42"/>
      <c r="B536" s="40" t="str">
        <f>IFERROR(VLOOKUP(A536, Terméklista!I:J, 2, FALSE), "Várom a cikkszámot...")</f>
        <v>Várom a cikkszámot...</v>
      </c>
      <c r="C536" s="44"/>
      <c r="D536" s="40" t="str">
        <f>IFERROR(VLOOKUP(C536, Terméklista!I:J, 2, FALSE), "Várom a cikkszámot...")</f>
        <v>Várom a cikkszámot...</v>
      </c>
      <c r="E536" s="40"/>
      <c r="F536" s="40"/>
      <c r="G536" s="41"/>
    </row>
    <row r="537" spans="1:7" x14ac:dyDescent="0.3">
      <c r="A537" s="42"/>
      <c r="B537" s="40" t="str">
        <f>IFERROR(VLOOKUP(A537, Terméklista!I:J, 2, FALSE), "Várom a cikkszámot...")</f>
        <v>Várom a cikkszámot...</v>
      </c>
      <c r="C537" s="44"/>
      <c r="D537" s="40" t="str">
        <f>IFERROR(VLOOKUP(C537, Terméklista!I:J, 2, FALSE), "Várom a cikkszámot...")</f>
        <v>Várom a cikkszámot...</v>
      </c>
      <c r="E537" s="40"/>
      <c r="F537" s="40"/>
      <c r="G537" s="41"/>
    </row>
    <row r="538" spans="1:7" x14ac:dyDescent="0.3">
      <c r="A538" s="42"/>
      <c r="B538" s="40" t="str">
        <f>IFERROR(VLOOKUP(A538, Terméklista!I:J, 2, FALSE), "Várom a cikkszámot...")</f>
        <v>Várom a cikkszámot...</v>
      </c>
      <c r="C538" s="44"/>
      <c r="D538" s="40" t="str">
        <f>IFERROR(VLOOKUP(C538, Terméklista!I:J, 2, FALSE), "Várom a cikkszámot...")</f>
        <v>Várom a cikkszámot...</v>
      </c>
      <c r="E538" s="40"/>
      <c r="F538" s="40"/>
      <c r="G538" s="41"/>
    </row>
    <row r="539" spans="1:7" x14ac:dyDescent="0.3">
      <c r="A539" s="42"/>
      <c r="B539" s="40" t="str">
        <f>IFERROR(VLOOKUP(A539, Terméklista!I:J, 2, FALSE), "Várom a cikkszámot...")</f>
        <v>Várom a cikkszámot...</v>
      </c>
      <c r="C539" s="44"/>
      <c r="D539" s="40" t="str">
        <f>IFERROR(VLOOKUP(C539, Terméklista!I:J, 2, FALSE), "Várom a cikkszámot...")</f>
        <v>Várom a cikkszámot...</v>
      </c>
      <c r="E539" s="40"/>
      <c r="F539" s="40"/>
      <c r="G539" s="41"/>
    </row>
    <row r="540" spans="1:7" x14ac:dyDescent="0.3">
      <c r="A540" s="42"/>
      <c r="B540" s="40" t="str">
        <f>IFERROR(VLOOKUP(A540, Terméklista!I:J, 2, FALSE), "Várom a cikkszámot...")</f>
        <v>Várom a cikkszámot...</v>
      </c>
      <c r="C540" s="44"/>
      <c r="D540" s="40" t="str">
        <f>IFERROR(VLOOKUP(C540, Terméklista!I:J, 2, FALSE), "Várom a cikkszámot...")</f>
        <v>Várom a cikkszámot...</v>
      </c>
      <c r="E540" s="40"/>
      <c r="F540" s="40"/>
      <c r="G540" s="41"/>
    </row>
    <row r="541" spans="1:7" x14ac:dyDescent="0.3">
      <c r="A541" s="42"/>
      <c r="B541" s="40" t="str">
        <f>IFERROR(VLOOKUP(A541, Terméklista!I:J, 2, FALSE), "Várom a cikkszámot...")</f>
        <v>Várom a cikkszámot...</v>
      </c>
      <c r="C541" s="44"/>
      <c r="D541" s="40" t="str">
        <f>IFERROR(VLOOKUP(C541, Terméklista!I:J, 2, FALSE), "Várom a cikkszámot...")</f>
        <v>Várom a cikkszámot...</v>
      </c>
      <c r="E541" s="40"/>
      <c r="F541" s="40"/>
      <c r="G541" s="41"/>
    </row>
    <row r="542" spans="1:7" x14ac:dyDescent="0.3">
      <c r="A542" s="42"/>
      <c r="B542" s="40" t="str">
        <f>IFERROR(VLOOKUP(A542, Terméklista!I:J, 2, FALSE), "Várom a cikkszámot...")</f>
        <v>Várom a cikkszámot...</v>
      </c>
      <c r="C542" s="44"/>
      <c r="D542" s="40" t="str">
        <f>IFERROR(VLOOKUP(C542, Terméklista!I:J, 2, FALSE), "Várom a cikkszámot...")</f>
        <v>Várom a cikkszámot...</v>
      </c>
      <c r="E542" s="40"/>
      <c r="F542" s="40"/>
      <c r="G542" s="41"/>
    </row>
    <row r="543" spans="1:7" x14ac:dyDescent="0.3">
      <c r="A543" s="42"/>
      <c r="B543" s="40" t="str">
        <f>IFERROR(VLOOKUP(A543, Terméklista!I:J, 2, FALSE), "Várom a cikkszámot...")</f>
        <v>Várom a cikkszámot...</v>
      </c>
      <c r="C543" s="44"/>
      <c r="D543" s="40" t="str">
        <f>IFERROR(VLOOKUP(C543, Terméklista!I:J, 2, FALSE), "Várom a cikkszámot...")</f>
        <v>Várom a cikkszámot...</v>
      </c>
      <c r="E543" s="40"/>
      <c r="F543" s="40"/>
      <c r="G543" s="41"/>
    </row>
    <row r="544" spans="1:7" x14ac:dyDescent="0.3">
      <c r="A544" s="42"/>
      <c r="B544" s="40" t="str">
        <f>IFERROR(VLOOKUP(A544, Terméklista!I:J, 2, FALSE), "Várom a cikkszámot...")</f>
        <v>Várom a cikkszámot...</v>
      </c>
      <c r="C544" s="44"/>
      <c r="D544" s="40" t="str">
        <f>IFERROR(VLOOKUP(C544, Terméklista!I:J, 2, FALSE), "Várom a cikkszámot...")</f>
        <v>Várom a cikkszámot...</v>
      </c>
      <c r="E544" s="40"/>
      <c r="F544" s="40"/>
      <c r="G544" s="41"/>
    </row>
    <row r="545" spans="1:7" x14ac:dyDescent="0.3">
      <c r="A545" s="42"/>
      <c r="B545" s="40" t="str">
        <f>IFERROR(VLOOKUP(A545, Terméklista!I:J, 2, FALSE), "Várom a cikkszámot...")</f>
        <v>Várom a cikkszámot...</v>
      </c>
      <c r="C545" s="44"/>
      <c r="D545" s="40" t="str">
        <f>IFERROR(VLOOKUP(C545, Terméklista!I:J, 2, FALSE), "Várom a cikkszámot...")</f>
        <v>Várom a cikkszámot...</v>
      </c>
      <c r="E545" s="40"/>
      <c r="F545" s="40"/>
      <c r="G545" s="41"/>
    </row>
    <row r="546" spans="1:7" x14ac:dyDescent="0.3">
      <c r="A546" s="42"/>
      <c r="B546" s="40" t="str">
        <f>IFERROR(VLOOKUP(A546, Terméklista!I:J, 2, FALSE), "Várom a cikkszámot...")</f>
        <v>Várom a cikkszámot...</v>
      </c>
      <c r="C546" s="44"/>
      <c r="D546" s="40" t="str">
        <f>IFERROR(VLOOKUP(C546, Terméklista!I:J, 2, FALSE), "Várom a cikkszámot...")</f>
        <v>Várom a cikkszámot...</v>
      </c>
      <c r="E546" s="40"/>
      <c r="F546" s="40"/>
      <c r="G546" s="41"/>
    </row>
    <row r="547" spans="1:7" x14ac:dyDescent="0.3">
      <c r="A547" s="42"/>
      <c r="B547" s="40" t="str">
        <f>IFERROR(VLOOKUP(A547, Terméklista!I:J, 2, FALSE), "Várom a cikkszámot...")</f>
        <v>Várom a cikkszámot...</v>
      </c>
      <c r="C547" s="44"/>
      <c r="D547" s="40" t="str">
        <f>IFERROR(VLOOKUP(C547, Terméklista!I:J, 2, FALSE), "Várom a cikkszámot...")</f>
        <v>Várom a cikkszámot...</v>
      </c>
      <c r="E547" s="40"/>
      <c r="F547" s="40"/>
      <c r="G547" s="41"/>
    </row>
    <row r="548" spans="1:7" x14ac:dyDescent="0.3">
      <c r="A548" s="42"/>
      <c r="B548" s="40" t="str">
        <f>IFERROR(VLOOKUP(A548, Terméklista!I:J, 2, FALSE), "Várom a cikkszámot...")</f>
        <v>Várom a cikkszámot...</v>
      </c>
      <c r="C548" s="44"/>
      <c r="D548" s="40" t="str">
        <f>IFERROR(VLOOKUP(C548, Terméklista!I:J, 2, FALSE), "Várom a cikkszámot...")</f>
        <v>Várom a cikkszámot...</v>
      </c>
      <c r="E548" s="40"/>
      <c r="F548" s="40"/>
      <c r="G548" s="41"/>
    </row>
    <row r="549" spans="1:7" x14ac:dyDescent="0.3">
      <c r="A549" s="42"/>
      <c r="B549" s="40" t="str">
        <f>IFERROR(VLOOKUP(A549, Terméklista!I:J, 2, FALSE), "Várom a cikkszámot...")</f>
        <v>Várom a cikkszámot...</v>
      </c>
      <c r="C549" s="44"/>
      <c r="D549" s="40" t="str">
        <f>IFERROR(VLOOKUP(C549, Terméklista!I:J, 2, FALSE), "Várom a cikkszámot...")</f>
        <v>Várom a cikkszámot...</v>
      </c>
      <c r="E549" s="40"/>
      <c r="F549" s="40"/>
      <c r="G549" s="41"/>
    </row>
    <row r="550" spans="1:7" x14ac:dyDescent="0.3">
      <c r="A550" s="42"/>
      <c r="B550" s="40" t="str">
        <f>IFERROR(VLOOKUP(A550, Terméklista!I:J, 2, FALSE), "Várom a cikkszámot...")</f>
        <v>Várom a cikkszámot...</v>
      </c>
      <c r="C550" s="44"/>
      <c r="D550" s="40" t="str">
        <f>IFERROR(VLOOKUP(C550, Terméklista!I:J, 2, FALSE), "Várom a cikkszámot...")</f>
        <v>Várom a cikkszámot...</v>
      </c>
      <c r="E550" s="40"/>
      <c r="F550" s="40"/>
      <c r="G550" s="41"/>
    </row>
    <row r="551" spans="1:7" x14ac:dyDescent="0.3">
      <c r="A551" s="42"/>
      <c r="B551" s="40" t="str">
        <f>IFERROR(VLOOKUP(A551, Terméklista!I:J, 2, FALSE), "Várom a cikkszámot...")</f>
        <v>Várom a cikkszámot...</v>
      </c>
      <c r="C551" s="44"/>
      <c r="D551" s="40" t="str">
        <f>IFERROR(VLOOKUP(C551, Terméklista!I:J, 2, FALSE), "Várom a cikkszámot...")</f>
        <v>Várom a cikkszámot...</v>
      </c>
      <c r="E551" s="40"/>
      <c r="F551" s="40"/>
      <c r="G551" s="41"/>
    </row>
    <row r="552" spans="1:7" x14ac:dyDescent="0.3">
      <c r="A552" s="42"/>
      <c r="B552" s="40" t="str">
        <f>IFERROR(VLOOKUP(A552, Terméklista!I:J, 2, FALSE), "Várom a cikkszámot...")</f>
        <v>Várom a cikkszámot...</v>
      </c>
      <c r="C552" s="44"/>
      <c r="D552" s="40" t="str">
        <f>IFERROR(VLOOKUP(C552, Terméklista!I:J, 2, FALSE), "Várom a cikkszámot...")</f>
        <v>Várom a cikkszámot...</v>
      </c>
      <c r="E552" s="40"/>
      <c r="F552" s="40"/>
      <c r="G552" s="41"/>
    </row>
    <row r="553" spans="1:7" x14ac:dyDescent="0.3">
      <c r="A553" s="42"/>
      <c r="B553" s="40" t="str">
        <f>IFERROR(VLOOKUP(A553, Terméklista!I:J, 2, FALSE), "Várom a cikkszámot...")</f>
        <v>Várom a cikkszámot...</v>
      </c>
      <c r="C553" s="44"/>
      <c r="D553" s="40" t="str">
        <f>IFERROR(VLOOKUP(C553, Terméklista!I:J, 2, FALSE), "Várom a cikkszámot...")</f>
        <v>Várom a cikkszámot...</v>
      </c>
      <c r="E553" s="40"/>
      <c r="F553" s="40"/>
      <c r="G553" s="41"/>
    </row>
    <row r="554" spans="1:7" x14ac:dyDescent="0.3">
      <c r="A554" s="42"/>
      <c r="B554" s="40" t="str">
        <f>IFERROR(VLOOKUP(A554, Terméklista!I:J, 2, FALSE), "Várom a cikkszámot...")</f>
        <v>Várom a cikkszámot...</v>
      </c>
      <c r="C554" s="44"/>
      <c r="D554" s="40" t="str">
        <f>IFERROR(VLOOKUP(C554, Terméklista!I:J, 2, FALSE), "Várom a cikkszámot...")</f>
        <v>Várom a cikkszámot...</v>
      </c>
      <c r="E554" s="40"/>
      <c r="F554" s="40"/>
      <c r="G554" s="41"/>
    </row>
    <row r="555" spans="1:7" x14ac:dyDescent="0.3">
      <c r="A555" s="42"/>
      <c r="B555" s="40" t="str">
        <f>IFERROR(VLOOKUP(A555, Terméklista!I:J, 2, FALSE), "Várom a cikkszámot...")</f>
        <v>Várom a cikkszámot...</v>
      </c>
      <c r="C555" s="44"/>
      <c r="D555" s="40" t="str">
        <f>IFERROR(VLOOKUP(C555, Terméklista!I:J, 2, FALSE), "Várom a cikkszámot...")</f>
        <v>Várom a cikkszámot...</v>
      </c>
      <c r="E555" s="40"/>
      <c r="F555" s="40"/>
      <c r="G555" s="41"/>
    </row>
    <row r="556" spans="1:7" x14ac:dyDescent="0.3">
      <c r="A556" s="42"/>
      <c r="B556" s="40" t="str">
        <f>IFERROR(VLOOKUP(A556, Terméklista!I:J, 2, FALSE), "Várom a cikkszámot...")</f>
        <v>Várom a cikkszámot...</v>
      </c>
      <c r="C556" s="44"/>
      <c r="D556" s="40" t="str">
        <f>IFERROR(VLOOKUP(C556, Terméklista!I:J, 2, FALSE), "Várom a cikkszámot...")</f>
        <v>Várom a cikkszámot...</v>
      </c>
      <c r="E556" s="40"/>
      <c r="F556" s="40"/>
      <c r="G556" s="41"/>
    </row>
    <row r="557" spans="1:7" x14ac:dyDescent="0.3">
      <c r="A557" s="42"/>
      <c r="B557" s="40" t="str">
        <f>IFERROR(VLOOKUP(A557, Terméklista!I:J, 2, FALSE), "Várom a cikkszámot...")</f>
        <v>Várom a cikkszámot...</v>
      </c>
      <c r="C557" s="44"/>
      <c r="D557" s="40" t="str">
        <f>IFERROR(VLOOKUP(C557, Terméklista!I:J, 2, FALSE), "Várom a cikkszámot...")</f>
        <v>Várom a cikkszámot...</v>
      </c>
      <c r="E557" s="40"/>
      <c r="F557" s="40"/>
      <c r="G557" s="41"/>
    </row>
    <row r="558" spans="1:7" x14ac:dyDescent="0.3">
      <c r="A558" s="42"/>
      <c r="B558" s="40" t="str">
        <f>IFERROR(VLOOKUP(A558, Terméklista!I:J, 2, FALSE), "Várom a cikkszámot...")</f>
        <v>Várom a cikkszámot...</v>
      </c>
      <c r="C558" s="44"/>
      <c r="D558" s="40" t="str">
        <f>IFERROR(VLOOKUP(C558, Terméklista!I:J, 2, FALSE), "Várom a cikkszámot...")</f>
        <v>Várom a cikkszámot...</v>
      </c>
      <c r="E558" s="40"/>
      <c r="F558" s="40"/>
      <c r="G558" s="41"/>
    </row>
    <row r="559" spans="1:7" x14ac:dyDescent="0.3">
      <c r="A559" s="42"/>
      <c r="B559" s="40" t="str">
        <f>IFERROR(VLOOKUP(A559, Terméklista!I:J, 2, FALSE), "Várom a cikkszámot...")</f>
        <v>Várom a cikkszámot...</v>
      </c>
      <c r="C559" s="44"/>
      <c r="D559" s="40" t="str">
        <f>IFERROR(VLOOKUP(C559, Terméklista!I:J, 2, FALSE), "Várom a cikkszámot...")</f>
        <v>Várom a cikkszámot...</v>
      </c>
      <c r="E559" s="40"/>
      <c r="F559" s="40"/>
      <c r="G559" s="41"/>
    </row>
    <row r="560" spans="1:7" x14ac:dyDescent="0.3">
      <c r="A560" s="42"/>
      <c r="B560" s="40" t="str">
        <f>IFERROR(VLOOKUP(A560, Terméklista!I:J, 2, FALSE), "Várom a cikkszámot...")</f>
        <v>Várom a cikkszámot...</v>
      </c>
      <c r="C560" s="44"/>
      <c r="D560" s="40" t="str">
        <f>IFERROR(VLOOKUP(C560, Terméklista!I:J, 2, FALSE), "Várom a cikkszámot...")</f>
        <v>Várom a cikkszámot...</v>
      </c>
      <c r="E560" s="40"/>
      <c r="F560" s="40"/>
      <c r="G560" s="41"/>
    </row>
    <row r="561" spans="1:7" x14ac:dyDescent="0.3">
      <c r="A561" s="42"/>
      <c r="B561" s="40" t="str">
        <f>IFERROR(VLOOKUP(A561, Terméklista!I:J, 2, FALSE), "Várom a cikkszámot...")</f>
        <v>Várom a cikkszámot...</v>
      </c>
      <c r="C561" s="44"/>
      <c r="D561" s="40" t="str">
        <f>IFERROR(VLOOKUP(C561, Terméklista!I:J, 2, FALSE), "Várom a cikkszámot...")</f>
        <v>Várom a cikkszámot...</v>
      </c>
      <c r="E561" s="40"/>
      <c r="F561" s="40"/>
      <c r="G561" s="41"/>
    </row>
    <row r="562" spans="1:7" x14ac:dyDescent="0.3">
      <c r="A562" s="42"/>
      <c r="B562" s="40" t="str">
        <f>IFERROR(VLOOKUP(A562, Terméklista!I:J, 2, FALSE), "Várom a cikkszámot...")</f>
        <v>Várom a cikkszámot...</v>
      </c>
      <c r="C562" s="44"/>
      <c r="D562" s="40" t="str">
        <f>IFERROR(VLOOKUP(C562, Terméklista!I:J, 2, FALSE), "Várom a cikkszámot...")</f>
        <v>Várom a cikkszámot...</v>
      </c>
      <c r="E562" s="40"/>
      <c r="F562" s="40"/>
      <c r="G562" s="41"/>
    </row>
    <row r="563" spans="1:7" x14ac:dyDescent="0.3">
      <c r="A563" s="42"/>
      <c r="B563" s="40" t="str">
        <f>IFERROR(VLOOKUP(A563, Terméklista!I:J, 2, FALSE), "Várom a cikkszámot...")</f>
        <v>Várom a cikkszámot...</v>
      </c>
      <c r="C563" s="44"/>
      <c r="D563" s="40" t="str">
        <f>IFERROR(VLOOKUP(C563, Terméklista!I:J, 2, FALSE), "Várom a cikkszámot...")</f>
        <v>Várom a cikkszámot...</v>
      </c>
      <c r="E563" s="40"/>
      <c r="F563" s="40"/>
      <c r="G563" s="41"/>
    </row>
    <row r="564" spans="1:7" x14ac:dyDescent="0.3">
      <c r="A564" s="42"/>
      <c r="B564" s="40" t="str">
        <f>IFERROR(VLOOKUP(A564, Terméklista!I:J, 2, FALSE), "Várom a cikkszámot...")</f>
        <v>Várom a cikkszámot...</v>
      </c>
      <c r="C564" s="44"/>
      <c r="D564" s="40" t="str">
        <f>IFERROR(VLOOKUP(C564, Terméklista!I:J, 2, FALSE), "Várom a cikkszámot...")</f>
        <v>Várom a cikkszámot...</v>
      </c>
      <c r="E564" s="40"/>
      <c r="F564" s="40"/>
      <c r="G564" s="41"/>
    </row>
    <row r="565" spans="1:7" x14ac:dyDescent="0.3">
      <c r="A565" s="42"/>
      <c r="B565" s="40" t="str">
        <f>IFERROR(VLOOKUP(A565, Terméklista!I:J, 2, FALSE), "Várom a cikkszámot...")</f>
        <v>Várom a cikkszámot...</v>
      </c>
      <c r="C565" s="44"/>
      <c r="D565" s="40" t="str">
        <f>IFERROR(VLOOKUP(C565, Terméklista!I:J, 2, FALSE), "Várom a cikkszámot...")</f>
        <v>Várom a cikkszámot...</v>
      </c>
      <c r="E565" s="40"/>
      <c r="F565" s="40"/>
      <c r="G565" s="41"/>
    </row>
    <row r="566" spans="1:7" x14ac:dyDescent="0.3">
      <c r="A566" s="42"/>
      <c r="B566" s="40" t="str">
        <f>IFERROR(VLOOKUP(A566, Terméklista!I:J, 2, FALSE), "Várom a cikkszámot...")</f>
        <v>Várom a cikkszámot...</v>
      </c>
      <c r="C566" s="44"/>
      <c r="D566" s="40" t="str">
        <f>IFERROR(VLOOKUP(C566, Terméklista!I:J, 2, FALSE), "Várom a cikkszámot...")</f>
        <v>Várom a cikkszámot...</v>
      </c>
      <c r="E566" s="40"/>
      <c r="F566" s="40"/>
      <c r="G566" s="41"/>
    </row>
    <row r="567" spans="1:7" x14ac:dyDescent="0.3">
      <c r="A567" s="42"/>
      <c r="B567" s="40" t="str">
        <f>IFERROR(VLOOKUP(A567, Terméklista!I:J, 2, FALSE), "Várom a cikkszámot...")</f>
        <v>Várom a cikkszámot...</v>
      </c>
      <c r="C567" s="44"/>
      <c r="D567" s="40" t="str">
        <f>IFERROR(VLOOKUP(C567, Terméklista!I:J, 2, FALSE), "Várom a cikkszámot...")</f>
        <v>Várom a cikkszámot...</v>
      </c>
      <c r="E567" s="40"/>
      <c r="F567" s="40"/>
      <c r="G567" s="41"/>
    </row>
    <row r="568" spans="1:7" x14ac:dyDescent="0.3">
      <c r="A568" s="42"/>
      <c r="B568" s="40" t="str">
        <f>IFERROR(VLOOKUP(A568, Terméklista!I:J, 2, FALSE), "Várom a cikkszámot...")</f>
        <v>Várom a cikkszámot...</v>
      </c>
      <c r="C568" s="44"/>
      <c r="D568" s="40" t="str">
        <f>IFERROR(VLOOKUP(C568, Terméklista!I:J, 2, FALSE), "Várom a cikkszámot...")</f>
        <v>Várom a cikkszámot...</v>
      </c>
      <c r="E568" s="40"/>
      <c r="F568" s="40"/>
      <c r="G568" s="41"/>
    </row>
    <row r="569" spans="1:7" x14ac:dyDescent="0.3">
      <c r="A569" s="42"/>
      <c r="B569" s="40" t="str">
        <f>IFERROR(VLOOKUP(A569, Terméklista!I:J, 2, FALSE), "Várom a cikkszámot...")</f>
        <v>Várom a cikkszámot...</v>
      </c>
      <c r="C569" s="44"/>
      <c r="D569" s="40" t="str">
        <f>IFERROR(VLOOKUP(C569, Terméklista!I:J, 2, FALSE), "Várom a cikkszámot...")</f>
        <v>Várom a cikkszámot...</v>
      </c>
      <c r="E569" s="40"/>
      <c r="F569" s="40"/>
      <c r="G569" s="41"/>
    </row>
    <row r="570" spans="1:7" x14ac:dyDescent="0.3">
      <c r="A570" s="42"/>
      <c r="B570" s="40" t="str">
        <f>IFERROR(VLOOKUP(A570, Terméklista!I:J, 2, FALSE), "Várom a cikkszámot...")</f>
        <v>Várom a cikkszámot...</v>
      </c>
      <c r="C570" s="44"/>
      <c r="D570" s="40" t="str">
        <f>IFERROR(VLOOKUP(C570, Terméklista!I:J, 2, FALSE), "Várom a cikkszámot...")</f>
        <v>Várom a cikkszámot...</v>
      </c>
      <c r="E570" s="40"/>
      <c r="F570" s="40"/>
      <c r="G570" s="41"/>
    </row>
    <row r="571" spans="1:7" x14ac:dyDescent="0.3">
      <c r="A571" s="42"/>
      <c r="B571" s="40" t="str">
        <f>IFERROR(VLOOKUP(A571, Terméklista!I:J, 2, FALSE), "Várom a cikkszámot...")</f>
        <v>Várom a cikkszámot...</v>
      </c>
      <c r="C571" s="44"/>
      <c r="D571" s="40" t="str">
        <f>IFERROR(VLOOKUP(C571, Terméklista!I:J, 2, FALSE), "Várom a cikkszámot...")</f>
        <v>Várom a cikkszámot...</v>
      </c>
      <c r="E571" s="40"/>
      <c r="F571" s="40"/>
      <c r="G571" s="41"/>
    </row>
    <row r="572" spans="1:7" x14ac:dyDescent="0.3">
      <c r="A572" s="42"/>
      <c r="B572" s="40" t="str">
        <f>IFERROR(VLOOKUP(A572, Terméklista!I:J, 2, FALSE), "Várom a cikkszámot...")</f>
        <v>Várom a cikkszámot...</v>
      </c>
      <c r="C572" s="44"/>
      <c r="D572" s="40" t="str">
        <f>IFERROR(VLOOKUP(C572, Terméklista!I:J, 2, FALSE), "Várom a cikkszámot...")</f>
        <v>Várom a cikkszámot...</v>
      </c>
      <c r="E572" s="40"/>
      <c r="F572" s="40"/>
      <c r="G572" s="41"/>
    </row>
    <row r="573" spans="1:7" x14ac:dyDescent="0.3">
      <c r="A573" s="42"/>
      <c r="B573" s="40" t="str">
        <f>IFERROR(VLOOKUP(A573, Terméklista!I:J, 2, FALSE), "Várom a cikkszámot...")</f>
        <v>Várom a cikkszámot...</v>
      </c>
      <c r="C573" s="44"/>
      <c r="D573" s="40" t="str">
        <f>IFERROR(VLOOKUP(C573, Terméklista!I:J, 2, FALSE), "Várom a cikkszámot...")</f>
        <v>Várom a cikkszámot...</v>
      </c>
      <c r="E573" s="40"/>
      <c r="F573" s="40"/>
      <c r="G573" s="41"/>
    </row>
    <row r="574" spans="1:7" x14ac:dyDescent="0.3">
      <c r="A574" s="42"/>
      <c r="B574" s="40" t="str">
        <f>IFERROR(VLOOKUP(A574, Terméklista!I:J, 2, FALSE), "Várom a cikkszámot...")</f>
        <v>Várom a cikkszámot...</v>
      </c>
      <c r="C574" s="44"/>
      <c r="D574" s="40" t="str">
        <f>IFERROR(VLOOKUP(C574, Terméklista!I:J, 2, FALSE), "Várom a cikkszámot...")</f>
        <v>Várom a cikkszámot...</v>
      </c>
      <c r="E574" s="40"/>
      <c r="F574" s="40"/>
      <c r="G574" s="41"/>
    </row>
    <row r="575" spans="1:7" x14ac:dyDescent="0.3">
      <c r="A575" s="42"/>
      <c r="B575" s="40" t="str">
        <f>IFERROR(VLOOKUP(A575, Terméklista!I:J, 2, FALSE), "Várom a cikkszámot...")</f>
        <v>Várom a cikkszámot...</v>
      </c>
      <c r="C575" s="44"/>
      <c r="D575" s="40" t="str">
        <f>IFERROR(VLOOKUP(C575, Terméklista!I:J, 2, FALSE), "Várom a cikkszámot...")</f>
        <v>Várom a cikkszámot...</v>
      </c>
      <c r="E575" s="40"/>
      <c r="F575" s="40"/>
      <c r="G575" s="41"/>
    </row>
    <row r="576" spans="1:7" x14ac:dyDescent="0.3">
      <c r="A576" s="42"/>
      <c r="B576" s="40" t="str">
        <f>IFERROR(VLOOKUP(A576, Terméklista!I:J, 2, FALSE), "Várom a cikkszámot...")</f>
        <v>Várom a cikkszámot...</v>
      </c>
      <c r="C576" s="44"/>
      <c r="D576" s="40" t="str">
        <f>IFERROR(VLOOKUP(C576, Terméklista!I:J, 2, FALSE), "Várom a cikkszámot...")</f>
        <v>Várom a cikkszámot...</v>
      </c>
      <c r="E576" s="40"/>
      <c r="F576" s="40"/>
      <c r="G576" s="41"/>
    </row>
    <row r="577" spans="1:7" x14ac:dyDescent="0.3">
      <c r="A577" s="42"/>
      <c r="B577" s="40" t="str">
        <f>IFERROR(VLOOKUP(A577, Terméklista!I:J, 2, FALSE), "Várom a cikkszámot...")</f>
        <v>Várom a cikkszámot...</v>
      </c>
      <c r="C577" s="44"/>
      <c r="D577" s="40" t="str">
        <f>IFERROR(VLOOKUP(C577, Terméklista!I:J, 2, FALSE), "Várom a cikkszámot...")</f>
        <v>Várom a cikkszámot...</v>
      </c>
      <c r="E577" s="40"/>
      <c r="F577" s="40"/>
      <c r="G577" s="41"/>
    </row>
    <row r="578" spans="1:7" x14ac:dyDescent="0.3">
      <c r="A578" s="42"/>
      <c r="B578" s="40" t="str">
        <f>IFERROR(VLOOKUP(A578, Terméklista!I:J, 2, FALSE), "Várom a cikkszámot...")</f>
        <v>Várom a cikkszámot...</v>
      </c>
      <c r="C578" s="44"/>
      <c r="D578" s="40" t="str">
        <f>IFERROR(VLOOKUP(C578, Terméklista!I:J, 2, FALSE), "Várom a cikkszámot...")</f>
        <v>Várom a cikkszámot...</v>
      </c>
      <c r="E578" s="40"/>
      <c r="F578" s="40"/>
      <c r="G578" s="41"/>
    </row>
    <row r="579" spans="1:7" x14ac:dyDescent="0.3">
      <c r="A579" s="42"/>
      <c r="B579" s="40" t="str">
        <f>IFERROR(VLOOKUP(A579, Terméklista!I:J, 2, FALSE), "Várom a cikkszámot...")</f>
        <v>Várom a cikkszámot...</v>
      </c>
      <c r="C579" s="44"/>
      <c r="D579" s="40" t="str">
        <f>IFERROR(VLOOKUP(C579, Terméklista!I:J, 2, FALSE), "Várom a cikkszámot...")</f>
        <v>Várom a cikkszámot...</v>
      </c>
      <c r="E579" s="40"/>
      <c r="F579" s="40"/>
      <c r="G579" s="41"/>
    </row>
    <row r="580" spans="1:7" x14ac:dyDescent="0.3">
      <c r="A580" s="42"/>
      <c r="B580" s="40" t="str">
        <f>IFERROR(VLOOKUP(A580, Terméklista!I:J, 2, FALSE), "Várom a cikkszámot...")</f>
        <v>Várom a cikkszámot...</v>
      </c>
      <c r="C580" s="44"/>
      <c r="D580" s="40" t="str">
        <f>IFERROR(VLOOKUP(C580, Terméklista!I:J, 2, FALSE), "Várom a cikkszámot...")</f>
        <v>Várom a cikkszámot...</v>
      </c>
      <c r="E580" s="40"/>
      <c r="F580" s="40"/>
      <c r="G580" s="41"/>
    </row>
    <row r="581" spans="1:7" x14ac:dyDescent="0.3">
      <c r="A581" s="42"/>
      <c r="B581" s="40" t="str">
        <f>IFERROR(VLOOKUP(A581, Terméklista!I:J, 2, FALSE), "Várom a cikkszámot...")</f>
        <v>Várom a cikkszámot...</v>
      </c>
      <c r="C581" s="44"/>
      <c r="D581" s="40" t="str">
        <f>IFERROR(VLOOKUP(C581, Terméklista!I:J, 2, FALSE), "Várom a cikkszámot...")</f>
        <v>Várom a cikkszámot...</v>
      </c>
      <c r="E581" s="40"/>
      <c r="F581" s="40"/>
      <c r="G581" s="41"/>
    </row>
    <row r="582" spans="1:7" x14ac:dyDescent="0.3">
      <c r="A582" s="42"/>
      <c r="B582" s="40" t="str">
        <f>IFERROR(VLOOKUP(A582, Terméklista!I:J, 2, FALSE), "Várom a cikkszámot...")</f>
        <v>Várom a cikkszámot...</v>
      </c>
      <c r="C582" s="44"/>
      <c r="D582" s="40" t="str">
        <f>IFERROR(VLOOKUP(C582, Terméklista!I:J, 2, FALSE), "Várom a cikkszámot...")</f>
        <v>Várom a cikkszámot...</v>
      </c>
      <c r="E582" s="40"/>
      <c r="F582" s="40"/>
      <c r="G582" s="41"/>
    </row>
    <row r="583" spans="1:7" x14ac:dyDescent="0.3">
      <c r="A583" s="42"/>
      <c r="B583" s="40" t="str">
        <f>IFERROR(VLOOKUP(A583, Terméklista!I:J, 2, FALSE), "Várom a cikkszámot...")</f>
        <v>Várom a cikkszámot...</v>
      </c>
      <c r="C583" s="44"/>
      <c r="D583" s="40" t="str">
        <f>IFERROR(VLOOKUP(C583, Terméklista!I:J, 2, FALSE), "Várom a cikkszámot...")</f>
        <v>Várom a cikkszámot...</v>
      </c>
      <c r="E583" s="40"/>
      <c r="F583" s="40"/>
      <c r="G583" s="41"/>
    </row>
    <row r="584" spans="1:7" x14ac:dyDescent="0.3">
      <c r="A584" s="42"/>
      <c r="B584" s="40" t="str">
        <f>IFERROR(VLOOKUP(A584, Terméklista!I:J, 2, FALSE), "Várom a cikkszámot...")</f>
        <v>Várom a cikkszámot...</v>
      </c>
      <c r="C584" s="44"/>
      <c r="D584" s="40" t="str">
        <f>IFERROR(VLOOKUP(C584, Terméklista!I:J, 2, FALSE), "Várom a cikkszámot...")</f>
        <v>Várom a cikkszámot...</v>
      </c>
      <c r="E584" s="40"/>
      <c r="F584" s="40"/>
      <c r="G584" s="41"/>
    </row>
    <row r="585" spans="1:7" x14ac:dyDescent="0.3">
      <c r="A585" s="42"/>
      <c r="B585" s="40" t="str">
        <f>IFERROR(VLOOKUP(A585, Terméklista!I:J, 2, FALSE), "Várom a cikkszámot...")</f>
        <v>Várom a cikkszámot...</v>
      </c>
      <c r="C585" s="44"/>
      <c r="D585" s="40" t="str">
        <f>IFERROR(VLOOKUP(C585, Terméklista!I:J, 2, FALSE), "Várom a cikkszámot...")</f>
        <v>Várom a cikkszámot...</v>
      </c>
      <c r="E585" s="40"/>
      <c r="F585" s="40"/>
      <c r="G585" s="41"/>
    </row>
    <row r="586" spans="1:7" x14ac:dyDescent="0.3">
      <c r="A586" s="42"/>
      <c r="B586" s="40" t="str">
        <f>IFERROR(VLOOKUP(A586, Terméklista!I:J, 2, FALSE), "Várom a cikkszámot...")</f>
        <v>Várom a cikkszámot...</v>
      </c>
      <c r="C586" s="44"/>
      <c r="D586" s="40" t="str">
        <f>IFERROR(VLOOKUP(C586, Terméklista!I:J, 2, FALSE), "Várom a cikkszámot...")</f>
        <v>Várom a cikkszámot...</v>
      </c>
      <c r="E586" s="40"/>
      <c r="F586" s="40"/>
      <c r="G586" s="41"/>
    </row>
    <row r="587" spans="1:7" x14ac:dyDescent="0.3">
      <c r="A587" s="42"/>
      <c r="B587" s="40" t="str">
        <f>IFERROR(VLOOKUP(A587, Terméklista!I:J, 2, FALSE), "Várom a cikkszámot...")</f>
        <v>Várom a cikkszámot...</v>
      </c>
      <c r="C587" s="44"/>
      <c r="D587" s="40" t="str">
        <f>IFERROR(VLOOKUP(C587, Terméklista!I:J, 2, FALSE), "Várom a cikkszámot...")</f>
        <v>Várom a cikkszámot...</v>
      </c>
      <c r="E587" s="40"/>
      <c r="F587" s="40"/>
      <c r="G587" s="41"/>
    </row>
    <row r="588" spans="1:7" x14ac:dyDescent="0.3">
      <c r="A588" s="42"/>
      <c r="B588" s="40" t="str">
        <f>IFERROR(VLOOKUP(A588, Terméklista!I:J, 2, FALSE), "Várom a cikkszámot...")</f>
        <v>Várom a cikkszámot...</v>
      </c>
      <c r="C588" s="44"/>
      <c r="D588" s="40" t="str">
        <f>IFERROR(VLOOKUP(C588, Terméklista!I:J, 2, FALSE), "Várom a cikkszámot...")</f>
        <v>Várom a cikkszámot...</v>
      </c>
      <c r="E588" s="40"/>
      <c r="F588" s="40"/>
      <c r="G588" s="41"/>
    </row>
    <row r="589" spans="1:7" x14ac:dyDescent="0.3">
      <c r="A589" s="42"/>
      <c r="B589" s="40" t="str">
        <f>IFERROR(VLOOKUP(A589, Terméklista!I:J, 2, FALSE), "Várom a cikkszámot...")</f>
        <v>Várom a cikkszámot...</v>
      </c>
      <c r="C589" s="44"/>
      <c r="D589" s="40" t="str">
        <f>IFERROR(VLOOKUP(C589, Terméklista!I:J, 2, FALSE), "Várom a cikkszámot...")</f>
        <v>Várom a cikkszámot...</v>
      </c>
      <c r="E589" s="40"/>
      <c r="F589" s="40"/>
      <c r="G589" s="41"/>
    </row>
    <row r="590" spans="1:7" x14ac:dyDescent="0.3">
      <c r="A590" s="42"/>
      <c r="B590" s="40" t="str">
        <f>IFERROR(VLOOKUP(A590, Terméklista!I:J, 2, FALSE), "Várom a cikkszámot...")</f>
        <v>Várom a cikkszámot...</v>
      </c>
      <c r="C590" s="44"/>
      <c r="D590" s="40" t="str">
        <f>IFERROR(VLOOKUP(C590, Terméklista!I:J, 2, FALSE), "Várom a cikkszámot...")</f>
        <v>Várom a cikkszámot...</v>
      </c>
      <c r="E590" s="40"/>
      <c r="F590" s="40"/>
      <c r="G590" s="41"/>
    </row>
    <row r="591" spans="1:7" x14ac:dyDescent="0.3">
      <c r="A591" s="42"/>
      <c r="B591" s="40" t="str">
        <f>IFERROR(VLOOKUP(A591, Terméklista!I:J, 2, FALSE), "Várom a cikkszámot...")</f>
        <v>Várom a cikkszámot...</v>
      </c>
      <c r="C591" s="44"/>
      <c r="D591" s="40" t="str">
        <f>IFERROR(VLOOKUP(C591, Terméklista!I:J, 2, FALSE), "Várom a cikkszámot...")</f>
        <v>Várom a cikkszámot...</v>
      </c>
      <c r="E591" s="40"/>
      <c r="F591" s="40"/>
      <c r="G591" s="41"/>
    </row>
    <row r="592" spans="1:7" x14ac:dyDescent="0.3">
      <c r="A592" s="42"/>
      <c r="B592" s="40" t="str">
        <f>IFERROR(VLOOKUP(A592, Terméklista!I:J, 2, FALSE), "Várom a cikkszámot...")</f>
        <v>Várom a cikkszámot...</v>
      </c>
      <c r="C592" s="44"/>
      <c r="D592" s="40" t="str">
        <f>IFERROR(VLOOKUP(C592, Terméklista!I:J, 2, FALSE), "Várom a cikkszámot...")</f>
        <v>Várom a cikkszámot...</v>
      </c>
      <c r="E592" s="40"/>
      <c r="F592" s="40"/>
      <c r="G592" s="41"/>
    </row>
    <row r="593" spans="1:7" x14ac:dyDescent="0.3">
      <c r="A593" s="42"/>
      <c r="B593" s="40" t="str">
        <f>IFERROR(VLOOKUP(A593, Terméklista!I:J, 2, FALSE), "Várom a cikkszámot...")</f>
        <v>Várom a cikkszámot...</v>
      </c>
      <c r="C593" s="44"/>
      <c r="D593" s="40" t="str">
        <f>IFERROR(VLOOKUP(C593, Terméklista!I:J, 2, FALSE), "Várom a cikkszámot...")</f>
        <v>Várom a cikkszámot...</v>
      </c>
      <c r="E593" s="40"/>
      <c r="F593" s="40"/>
      <c r="G593" s="41"/>
    </row>
    <row r="594" spans="1:7" x14ac:dyDescent="0.3">
      <c r="A594" s="42"/>
      <c r="B594" s="40" t="str">
        <f>IFERROR(VLOOKUP(A594, Terméklista!I:J, 2, FALSE), "Várom a cikkszámot...")</f>
        <v>Várom a cikkszámot...</v>
      </c>
      <c r="C594" s="44"/>
      <c r="D594" s="40" t="str">
        <f>IFERROR(VLOOKUP(C594, Terméklista!I:J, 2, FALSE), "Várom a cikkszámot...")</f>
        <v>Várom a cikkszámot...</v>
      </c>
      <c r="E594" s="40"/>
      <c r="F594" s="40"/>
      <c r="G594" s="41"/>
    </row>
    <row r="595" spans="1:7" x14ac:dyDescent="0.3">
      <c r="A595" s="42"/>
      <c r="B595" s="40" t="str">
        <f>IFERROR(VLOOKUP(A595, Terméklista!I:J, 2, FALSE), "Várom a cikkszámot...")</f>
        <v>Várom a cikkszámot...</v>
      </c>
      <c r="C595" s="44"/>
      <c r="D595" s="40" t="str">
        <f>IFERROR(VLOOKUP(C595, Terméklista!I:J, 2, FALSE), "Várom a cikkszámot...")</f>
        <v>Várom a cikkszámot...</v>
      </c>
      <c r="E595" s="40"/>
      <c r="F595" s="40"/>
      <c r="G595" s="41"/>
    </row>
    <row r="596" spans="1:7" x14ac:dyDescent="0.3">
      <c r="A596" s="42"/>
      <c r="B596" s="40" t="str">
        <f>IFERROR(VLOOKUP(A596, Terméklista!I:J, 2, FALSE), "Várom a cikkszámot...")</f>
        <v>Várom a cikkszámot...</v>
      </c>
      <c r="C596" s="44"/>
      <c r="D596" s="40" t="str">
        <f>IFERROR(VLOOKUP(C596, Terméklista!I:J, 2, FALSE), "Várom a cikkszámot...")</f>
        <v>Várom a cikkszámot...</v>
      </c>
      <c r="E596" s="40"/>
      <c r="F596" s="40"/>
      <c r="G596" s="41"/>
    </row>
    <row r="597" spans="1:7" x14ac:dyDescent="0.3">
      <c r="A597" s="42"/>
      <c r="B597" s="40" t="str">
        <f>IFERROR(VLOOKUP(A597, Terméklista!I:J, 2, FALSE), "Várom a cikkszámot...")</f>
        <v>Várom a cikkszámot...</v>
      </c>
      <c r="C597" s="44"/>
      <c r="D597" s="40" t="str">
        <f>IFERROR(VLOOKUP(C597, Terméklista!I:J, 2, FALSE), "Várom a cikkszámot...")</f>
        <v>Várom a cikkszámot...</v>
      </c>
      <c r="E597" s="40"/>
      <c r="F597" s="40"/>
      <c r="G597" s="41"/>
    </row>
    <row r="598" spans="1:7" x14ac:dyDescent="0.3">
      <c r="A598" s="42"/>
      <c r="B598" s="40" t="str">
        <f>IFERROR(VLOOKUP(A598, Terméklista!I:J, 2, FALSE), "Várom a cikkszámot...")</f>
        <v>Várom a cikkszámot...</v>
      </c>
      <c r="C598" s="44"/>
      <c r="D598" s="40" t="str">
        <f>IFERROR(VLOOKUP(C598, Terméklista!I:J, 2, FALSE), "Várom a cikkszámot...")</f>
        <v>Várom a cikkszámot...</v>
      </c>
      <c r="E598" s="40"/>
      <c r="F598" s="40"/>
      <c r="G598" s="41"/>
    </row>
    <row r="599" spans="1:7" x14ac:dyDescent="0.3">
      <c r="A599" s="42"/>
      <c r="B599" s="40" t="str">
        <f>IFERROR(VLOOKUP(A599, Terméklista!I:J, 2, FALSE), "Várom a cikkszámot...")</f>
        <v>Várom a cikkszámot...</v>
      </c>
      <c r="C599" s="44"/>
      <c r="D599" s="40" t="str">
        <f>IFERROR(VLOOKUP(C599, Terméklista!I:J, 2, FALSE), "Várom a cikkszámot...")</f>
        <v>Várom a cikkszámot...</v>
      </c>
      <c r="E599" s="40"/>
      <c r="F599" s="40"/>
      <c r="G599" s="41"/>
    </row>
    <row r="600" spans="1:7" x14ac:dyDescent="0.3">
      <c r="A600" s="42"/>
      <c r="B600" s="40" t="str">
        <f>IFERROR(VLOOKUP(A600, Terméklista!I:J, 2, FALSE), "Várom a cikkszámot...")</f>
        <v>Várom a cikkszámot...</v>
      </c>
      <c r="C600" s="44"/>
      <c r="D600" s="40" t="str">
        <f>IFERROR(VLOOKUP(C600, Terméklista!I:J, 2, FALSE), "Várom a cikkszámot...")</f>
        <v>Várom a cikkszámot...</v>
      </c>
      <c r="E600" s="40"/>
      <c r="F600" s="40"/>
      <c r="G600" s="41"/>
    </row>
    <row r="601" spans="1:7" x14ac:dyDescent="0.3">
      <c r="A601" s="42"/>
      <c r="B601" s="40" t="str">
        <f>IFERROR(VLOOKUP(A601, Terméklista!I:J, 2, FALSE), "Várom a cikkszámot...")</f>
        <v>Várom a cikkszámot...</v>
      </c>
      <c r="C601" s="44"/>
      <c r="D601" s="40" t="str">
        <f>IFERROR(VLOOKUP(C601, Terméklista!I:J, 2, FALSE), "Várom a cikkszámot...")</f>
        <v>Várom a cikkszámot...</v>
      </c>
      <c r="E601" s="40"/>
      <c r="F601" s="40"/>
      <c r="G601" s="41"/>
    </row>
    <row r="602" spans="1:7" x14ac:dyDescent="0.3">
      <c r="A602" s="42"/>
      <c r="B602" s="40" t="str">
        <f>IFERROR(VLOOKUP(A602, Terméklista!I:J, 2, FALSE), "Várom a cikkszámot...")</f>
        <v>Várom a cikkszámot...</v>
      </c>
      <c r="C602" s="44"/>
      <c r="D602" s="40" t="str">
        <f>IFERROR(VLOOKUP(C602, Terméklista!I:J, 2, FALSE), "Várom a cikkszámot...")</f>
        <v>Várom a cikkszámot...</v>
      </c>
      <c r="E602" s="40"/>
      <c r="F602" s="40"/>
      <c r="G602" s="41"/>
    </row>
    <row r="603" spans="1:7" x14ac:dyDescent="0.3">
      <c r="A603" s="42"/>
      <c r="B603" s="40" t="str">
        <f>IFERROR(VLOOKUP(A603, Terméklista!I:J, 2, FALSE), "Várom a cikkszámot...")</f>
        <v>Várom a cikkszámot...</v>
      </c>
      <c r="C603" s="44"/>
      <c r="D603" s="40" t="str">
        <f>IFERROR(VLOOKUP(C603, Terméklista!I:J, 2, FALSE), "Várom a cikkszámot...")</f>
        <v>Várom a cikkszámot...</v>
      </c>
      <c r="E603" s="40"/>
      <c r="F603" s="40"/>
      <c r="G603" s="41"/>
    </row>
    <row r="604" spans="1:7" x14ac:dyDescent="0.3">
      <c r="A604" s="42"/>
      <c r="B604" s="40" t="str">
        <f>IFERROR(VLOOKUP(A604, Terméklista!I:J, 2, FALSE), "Várom a cikkszámot...")</f>
        <v>Várom a cikkszámot...</v>
      </c>
      <c r="C604" s="44"/>
      <c r="D604" s="40" t="str">
        <f>IFERROR(VLOOKUP(C604, Terméklista!I:J, 2, FALSE), "Várom a cikkszámot...")</f>
        <v>Várom a cikkszámot...</v>
      </c>
      <c r="E604" s="40"/>
      <c r="F604" s="40"/>
      <c r="G604" s="41"/>
    </row>
    <row r="605" spans="1:7" x14ac:dyDescent="0.3">
      <c r="A605" s="42"/>
      <c r="B605" s="40" t="str">
        <f>IFERROR(VLOOKUP(A605, Terméklista!I:J, 2, FALSE), "Várom a cikkszámot...")</f>
        <v>Várom a cikkszámot...</v>
      </c>
      <c r="C605" s="44"/>
      <c r="D605" s="40" t="str">
        <f>IFERROR(VLOOKUP(C605, Terméklista!I:J, 2, FALSE), "Várom a cikkszámot...")</f>
        <v>Várom a cikkszámot...</v>
      </c>
      <c r="E605" s="40"/>
      <c r="F605" s="40"/>
      <c r="G605" s="41"/>
    </row>
    <row r="606" spans="1:7" x14ac:dyDescent="0.3">
      <c r="A606" s="42"/>
      <c r="B606" s="40" t="str">
        <f>IFERROR(VLOOKUP(A606, Terméklista!I:J, 2, FALSE), "Várom a cikkszámot...")</f>
        <v>Várom a cikkszámot...</v>
      </c>
      <c r="C606" s="44"/>
      <c r="D606" s="40" t="str">
        <f>IFERROR(VLOOKUP(C606, Terméklista!I:J, 2, FALSE), "Várom a cikkszámot...")</f>
        <v>Várom a cikkszámot...</v>
      </c>
      <c r="E606" s="40"/>
      <c r="F606" s="40"/>
      <c r="G606" s="41"/>
    </row>
    <row r="607" spans="1:7" x14ac:dyDescent="0.3">
      <c r="A607" s="42"/>
      <c r="B607" s="40" t="str">
        <f>IFERROR(VLOOKUP(A607, Terméklista!I:J, 2, FALSE), "Várom a cikkszámot...")</f>
        <v>Várom a cikkszámot...</v>
      </c>
      <c r="C607" s="44"/>
      <c r="D607" s="40" t="str">
        <f>IFERROR(VLOOKUP(C607, Terméklista!I:J, 2, FALSE), "Várom a cikkszámot...")</f>
        <v>Várom a cikkszámot...</v>
      </c>
      <c r="E607" s="40"/>
      <c r="F607" s="40"/>
      <c r="G607" s="41"/>
    </row>
    <row r="608" spans="1:7" x14ac:dyDescent="0.3">
      <c r="A608" s="42"/>
      <c r="B608" s="40" t="str">
        <f>IFERROR(VLOOKUP(A608, Terméklista!I:J, 2, FALSE), "Várom a cikkszámot...")</f>
        <v>Várom a cikkszámot...</v>
      </c>
      <c r="C608" s="44"/>
      <c r="D608" s="40" t="str">
        <f>IFERROR(VLOOKUP(C608, Terméklista!I:J, 2, FALSE), "Várom a cikkszámot...")</f>
        <v>Várom a cikkszámot...</v>
      </c>
      <c r="E608" s="40"/>
      <c r="F608" s="40"/>
      <c r="G608" s="41"/>
    </row>
    <row r="609" spans="1:7" x14ac:dyDescent="0.3">
      <c r="A609" s="42"/>
      <c r="B609" s="40" t="str">
        <f>IFERROR(VLOOKUP(A609, Terméklista!I:J, 2, FALSE), "Várom a cikkszámot...")</f>
        <v>Várom a cikkszámot...</v>
      </c>
      <c r="C609" s="44"/>
      <c r="D609" s="40" t="str">
        <f>IFERROR(VLOOKUP(C609, Terméklista!I:J, 2, FALSE), "Várom a cikkszámot...")</f>
        <v>Várom a cikkszámot...</v>
      </c>
      <c r="E609" s="40"/>
      <c r="F609" s="40"/>
      <c r="G609" s="41"/>
    </row>
    <row r="610" spans="1:7" x14ac:dyDescent="0.3">
      <c r="A610" s="42"/>
      <c r="B610" s="40" t="str">
        <f>IFERROR(VLOOKUP(A610, Terméklista!I:J, 2, FALSE), "Várom a cikkszámot...")</f>
        <v>Várom a cikkszámot...</v>
      </c>
      <c r="C610" s="44"/>
      <c r="D610" s="40" t="str">
        <f>IFERROR(VLOOKUP(C610, Terméklista!I:J, 2, FALSE), "Várom a cikkszámot...")</f>
        <v>Várom a cikkszámot...</v>
      </c>
      <c r="E610" s="40"/>
      <c r="F610" s="40"/>
      <c r="G610" s="41"/>
    </row>
    <row r="611" spans="1:7" x14ac:dyDescent="0.3">
      <c r="A611" s="42"/>
      <c r="B611" s="40" t="str">
        <f>IFERROR(VLOOKUP(A611, Terméklista!I:J, 2, FALSE), "Várom a cikkszámot...")</f>
        <v>Várom a cikkszámot...</v>
      </c>
      <c r="C611" s="44"/>
      <c r="D611" s="40" t="str">
        <f>IFERROR(VLOOKUP(C611, Terméklista!I:J, 2, FALSE), "Várom a cikkszámot...")</f>
        <v>Várom a cikkszámot...</v>
      </c>
      <c r="E611" s="40"/>
      <c r="F611" s="40"/>
      <c r="G611" s="41"/>
    </row>
    <row r="612" spans="1:7" x14ac:dyDescent="0.3">
      <c r="A612" s="42"/>
      <c r="B612" s="40" t="str">
        <f>IFERROR(VLOOKUP(A612, Terméklista!I:J, 2, FALSE), "Várom a cikkszámot...")</f>
        <v>Várom a cikkszámot...</v>
      </c>
      <c r="C612" s="44"/>
      <c r="D612" s="40" t="str">
        <f>IFERROR(VLOOKUP(C612, Terméklista!I:J, 2, FALSE), "Várom a cikkszámot...")</f>
        <v>Várom a cikkszámot...</v>
      </c>
      <c r="E612" s="40"/>
      <c r="F612" s="40"/>
      <c r="G612" s="41"/>
    </row>
    <row r="613" spans="1:7" x14ac:dyDescent="0.3">
      <c r="A613" s="42"/>
      <c r="B613" s="40" t="str">
        <f>IFERROR(VLOOKUP(A613, Terméklista!I:J, 2, FALSE), "Várom a cikkszámot...")</f>
        <v>Várom a cikkszámot...</v>
      </c>
      <c r="C613" s="44"/>
      <c r="D613" s="40" t="str">
        <f>IFERROR(VLOOKUP(C613, Terméklista!I:J, 2, FALSE), "Várom a cikkszámot...")</f>
        <v>Várom a cikkszámot...</v>
      </c>
      <c r="E613" s="40"/>
      <c r="F613" s="40"/>
      <c r="G613" s="41"/>
    </row>
    <row r="614" spans="1:7" x14ac:dyDescent="0.3">
      <c r="A614" s="42"/>
      <c r="B614" s="40" t="str">
        <f>IFERROR(VLOOKUP(A614, Terméklista!I:J, 2, FALSE), "Várom a cikkszámot...")</f>
        <v>Várom a cikkszámot...</v>
      </c>
      <c r="C614" s="44"/>
      <c r="D614" s="40" t="str">
        <f>IFERROR(VLOOKUP(C614, Terméklista!I:J, 2, FALSE), "Várom a cikkszámot...")</f>
        <v>Várom a cikkszámot...</v>
      </c>
      <c r="E614" s="40"/>
      <c r="F614" s="40"/>
      <c r="G614" s="41"/>
    </row>
    <row r="615" spans="1:7" x14ac:dyDescent="0.3">
      <c r="A615" s="42"/>
      <c r="B615" s="40" t="str">
        <f>IFERROR(VLOOKUP(A615, Terméklista!I:J, 2, FALSE), "Várom a cikkszámot...")</f>
        <v>Várom a cikkszámot...</v>
      </c>
      <c r="C615" s="44"/>
      <c r="D615" s="40" t="str">
        <f>IFERROR(VLOOKUP(C615, Terméklista!I:J, 2, FALSE), "Várom a cikkszámot...")</f>
        <v>Várom a cikkszámot...</v>
      </c>
      <c r="E615" s="40"/>
      <c r="F615" s="40"/>
      <c r="G615" s="41"/>
    </row>
    <row r="616" spans="1:7" x14ac:dyDescent="0.3">
      <c r="A616" s="42"/>
      <c r="B616" s="40" t="str">
        <f>IFERROR(VLOOKUP(A616, Terméklista!I:J, 2, FALSE), "Várom a cikkszámot...")</f>
        <v>Várom a cikkszámot...</v>
      </c>
      <c r="C616" s="44"/>
      <c r="D616" s="40" t="str">
        <f>IFERROR(VLOOKUP(C616, Terméklista!I:J, 2, FALSE), "Várom a cikkszámot...")</f>
        <v>Várom a cikkszámot...</v>
      </c>
      <c r="E616" s="40"/>
      <c r="F616" s="40"/>
      <c r="G616" s="41"/>
    </row>
    <row r="617" spans="1:7" x14ac:dyDescent="0.3">
      <c r="A617" s="42"/>
      <c r="B617" s="40" t="str">
        <f>IFERROR(VLOOKUP(A617, Terméklista!I:J, 2, FALSE), "Várom a cikkszámot...")</f>
        <v>Várom a cikkszámot...</v>
      </c>
      <c r="C617" s="44"/>
      <c r="D617" s="40" t="str">
        <f>IFERROR(VLOOKUP(C617, Terméklista!I:J, 2, FALSE), "Várom a cikkszámot...")</f>
        <v>Várom a cikkszámot...</v>
      </c>
      <c r="E617" s="40"/>
      <c r="F617" s="40"/>
      <c r="G617" s="41"/>
    </row>
    <row r="618" spans="1:7" x14ac:dyDescent="0.3">
      <c r="A618" s="42"/>
      <c r="B618" s="40" t="str">
        <f>IFERROR(VLOOKUP(A618, Terméklista!I:J, 2, FALSE), "Várom a cikkszámot...")</f>
        <v>Várom a cikkszámot...</v>
      </c>
      <c r="C618" s="44"/>
      <c r="D618" s="40" t="str">
        <f>IFERROR(VLOOKUP(C618, Terméklista!I:J, 2, FALSE), "Várom a cikkszámot...")</f>
        <v>Várom a cikkszámot...</v>
      </c>
      <c r="E618" s="40"/>
      <c r="F618" s="40"/>
      <c r="G618" s="41"/>
    </row>
    <row r="619" spans="1:7" x14ac:dyDescent="0.3">
      <c r="A619" s="42"/>
      <c r="B619" s="40" t="str">
        <f>IFERROR(VLOOKUP(A619, Terméklista!I:J, 2, FALSE), "Várom a cikkszámot...")</f>
        <v>Várom a cikkszámot...</v>
      </c>
      <c r="C619" s="44"/>
      <c r="D619" s="40" t="str">
        <f>IFERROR(VLOOKUP(C619, Terméklista!I:J, 2, FALSE), "Várom a cikkszámot...")</f>
        <v>Várom a cikkszámot...</v>
      </c>
      <c r="E619" s="40"/>
      <c r="F619" s="40"/>
      <c r="G619" s="41"/>
    </row>
    <row r="620" spans="1:7" x14ac:dyDescent="0.3">
      <c r="A620" s="42"/>
      <c r="B620" s="40" t="str">
        <f>IFERROR(VLOOKUP(A620, Terméklista!I:J, 2, FALSE), "Várom a cikkszámot...")</f>
        <v>Várom a cikkszámot...</v>
      </c>
      <c r="C620" s="44"/>
      <c r="D620" s="40" t="str">
        <f>IFERROR(VLOOKUP(C620, Terméklista!I:J, 2, FALSE), "Várom a cikkszámot...")</f>
        <v>Várom a cikkszámot...</v>
      </c>
      <c r="E620" s="40"/>
      <c r="F620" s="40"/>
      <c r="G620" s="41"/>
    </row>
    <row r="621" spans="1:7" x14ac:dyDescent="0.3">
      <c r="A621" s="42"/>
      <c r="B621" s="40" t="str">
        <f>IFERROR(VLOOKUP(A621, Terméklista!I:J, 2, FALSE), "Várom a cikkszámot...")</f>
        <v>Várom a cikkszámot...</v>
      </c>
      <c r="C621" s="44"/>
      <c r="D621" s="40" t="str">
        <f>IFERROR(VLOOKUP(C621, Terméklista!I:J, 2, FALSE), "Várom a cikkszámot...")</f>
        <v>Várom a cikkszámot...</v>
      </c>
      <c r="E621" s="40"/>
      <c r="F621" s="40"/>
      <c r="G621" s="41"/>
    </row>
    <row r="622" spans="1:7" x14ac:dyDescent="0.3">
      <c r="A622" s="42"/>
      <c r="B622" s="40" t="str">
        <f>IFERROR(VLOOKUP(A622, Terméklista!I:J, 2, FALSE), "Várom a cikkszámot...")</f>
        <v>Várom a cikkszámot...</v>
      </c>
      <c r="C622" s="44"/>
      <c r="D622" s="40" t="str">
        <f>IFERROR(VLOOKUP(C622, Terméklista!I:J, 2, FALSE), "Várom a cikkszámot...")</f>
        <v>Várom a cikkszámot...</v>
      </c>
      <c r="E622" s="40"/>
      <c r="F622" s="40"/>
      <c r="G622" s="41"/>
    </row>
    <row r="623" spans="1:7" x14ac:dyDescent="0.3">
      <c r="A623" s="42"/>
      <c r="B623" s="40" t="str">
        <f>IFERROR(VLOOKUP(A623, Terméklista!I:J, 2, FALSE), "Várom a cikkszámot...")</f>
        <v>Várom a cikkszámot...</v>
      </c>
      <c r="C623" s="44"/>
      <c r="D623" s="40" t="str">
        <f>IFERROR(VLOOKUP(C623, Terméklista!I:J, 2, FALSE), "Várom a cikkszámot...")</f>
        <v>Várom a cikkszámot...</v>
      </c>
      <c r="E623" s="40"/>
      <c r="F623" s="40"/>
      <c r="G623" s="41"/>
    </row>
    <row r="624" spans="1:7" x14ac:dyDescent="0.3">
      <c r="A624" s="42"/>
      <c r="B624" s="40" t="str">
        <f>IFERROR(VLOOKUP(A624, Terméklista!I:J, 2, FALSE), "Várom a cikkszámot...")</f>
        <v>Várom a cikkszámot...</v>
      </c>
      <c r="C624" s="44"/>
      <c r="D624" s="40" t="str">
        <f>IFERROR(VLOOKUP(C624, Terméklista!I:J, 2, FALSE), "Várom a cikkszámot...")</f>
        <v>Várom a cikkszámot...</v>
      </c>
      <c r="E624" s="40"/>
      <c r="F624" s="40"/>
      <c r="G624" s="41"/>
    </row>
    <row r="625" spans="1:7" x14ac:dyDescent="0.3">
      <c r="A625" s="42"/>
      <c r="B625" s="40" t="str">
        <f>IFERROR(VLOOKUP(A625, Terméklista!I:J, 2, FALSE), "Várom a cikkszámot...")</f>
        <v>Várom a cikkszámot...</v>
      </c>
      <c r="C625" s="44"/>
      <c r="D625" s="40" t="str">
        <f>IFERROR(VLOOKUP(C625, Terméklista!I:J, 2, FALSE), "Várom a cikkszámot...")</f>
        <v>Várom a cikkszámot...</v>
      </c>
      <c r="E625" s="40"/>
      <c r="F625" s="40"/>
      <c r="G625" s="41"/>
    </row>
    <row r="626" spans="1:7" x14ac:dyDescent="0.3">
      <c r="A626" s="42"/>
      <c r="B626" s="40" t="str">
        <f>IFERROR(VLOOKUP(A626, Terméklista!I:J, 2, FALSE), "Várom a cikkszámot...")</f>
        <v>Várom a cikkszámot...</v>
      </c>
      <c r="C626" s="44"/>
      <c r="D626" s="40" t="str">
        <f>IFERROR(VLOOKUP(C626, Terméklista!I:J, 2, FALSE), "Várom a cikkszámot...")</f>
        <v>Várom a cikkszámot...</v>
      </c>
      <c r="E626" s="40"/>
      <c r="F626" s="40"/>
      <c r="G626" s="41"/>
    </row>
    <row r="627" spans="1:7" x14ac:dyDescent="0.3">
      <c r="A627" s="42"/>
      <c r="B627" s="40" t="str">
        <f>IFERROR(VLOOKUP(A627, Terméklista!I:J, 2, FALSE), "Várom a cikkszámot...")</f>
        <v>Várom a cikkszámot...</v>
      </c>
      <c r="C627" s="44"/>
      <c r="D627" s="40" t="str">
        <f>IFERROR(VLOOKUP(C627, Terméklista!I:J, 2, FALSE), "Várom a cikkszámot...")</f>
        <v>Várom a cikkszámot...</v>
      </c>
      <c r="E627" s="40"/>
      <c r="F627" s="40"/>
      <c r="G627" s="41"/>
    </row>
    <row r="628" spans="1:7" x14ac:dyDescent="0.3">
      <c r="A628" s="42"/>
      <c r="B628" s="40" t="str">
        <f>IFERROR(VLOOKUP(A628, Terméklista!I:J, 2, FALSE), "Várom a cikkszámot...")</f>
        <v>Várom a cikkszámot...</v>
      </c>
      <c r="C628" s="44"/>
      <c r="D628" s="40" t="str">
        <f>IFERROR(VLOOKUP(C628, Terméklista!I:J, 2, FALSE), "Várom a cikkszámot...")</f>
        <v>Várom a cikkszámot...</v>
      </c>
      <c r="E628" s="40"/>
      <c r="F628" s="40"/>
      <c r="G628" s="41"/>
    </row>
    <row r="629" spans="1:7" x14ac:dyDescent="0.3">
      <c r="A629" s="42"/>
      <c r="B629" s="40" t="str">
        <f>IFERROR(VLOOKUP(A629, Terméklista!I:J, 2, FALSE), "Várom a cikkszámot...")</f>
        <v>Várom a cikkszámot...</v>
      </c>
      <c r="C629" s="44"/>
      <c r="D629" s="40" t="str">
        <f>IFERROR(VLOOKUP(C629, Terméklista!I:J, 2, FALSE), "Várom a cikkszámot...")</f>
        <v>Várom a cikkszámot...</v>
      </c>
      <c r="E629" s="40"/>
      <c r="F629" s="40"/>
      <c r="G629" s="41"/>
    </row>
    <row r="630" spans="1:7" x14ac:dyDescent="0.3">
      <c r="A630" s="42"/>
      <c r="B630" s="40" t="str">
        <f>IFERROR(VLOOKUP(A630, Terméklista!I:J, 2, FALSE), "Várom a cikkszámot...")</f>
        <v>Várom a cikkszámot...</v>
      </c>
      <c r="C630" s="44"/>
      <c r="D630" s="40" t="str">
        <f>IFERROR(VLOOKUP(C630, Terméklista!I:J, 2, FALSE), "Várom a cikkszámot...")</f>
        <v>Várom a cikkszámot...</v>
      </c>
      <c r="E630" s="40"/>
      <c r="F630" s="40"/>
      <c r="G630" s="41"/>
    </row>
    <row r="631" spans="1:7" x14ac:dyDescent="0.3">
      <c r="A631" s="42"/>
      <c r="B631" s="40" t="str">
        <f>IFERROR(VLOOKUP(A631, Terméklista!I:J, 2, FALSE), "Várom a cikkszámot...")</f>
        <v>Várom a cikkszámot...</v>
      </c>
      <c r="C631" s="44"/>
      <c r="D631" s="40" t="str">
        <f>IFERROR(VLOOKUP(C631, Terméklista!I:J, 2, FALSE), "Várom a cikkszámot...")</f>
        <v>Várom a cikkszámot...</v>
      </c>
      <c r="E631" s="40"/>
      <c r="F631" s="40"/>
      <c r="G631" s="41"/>
    </row>
    <row r="632" spans="1:7" x14ac:dyDescent="0.3">
      <c r="A632" s="42"/>
      <c r="B632" s="40" t="str">
        <f>IFERROR(VLOOKUP(A632, Terméklista!I:J, 2, FALSE), "Várom a cikkszámot...")</f>
        <v>Várom a cikkszámot...</v>
      </c>
      <c r="C632" s="44"/>
      <c r="D632" s="40" t="str">
        <f>IFERROR(VLOOKUP(C632, Terméklista!I:J, 2, FALSE), "Várom a cikkszámot...")</f>
        <v>Várom a cikkszámot...</v>
      </c>
      <c r="E632" s="40"/>
      <c r="F632" s="40"/>
      <c r="G632" s="41"/>
    </row>
    <row r="633" spans="1:7" x14ac:dyDescent="0.3">
      <c r="A633" s="42"/>
      <c r="B633" s="40" t="str">
        <f>IFERROR(VLOOKUP(A633, Terméklista!I:J, 2, FALSE), "Várom a cikkszámot...")</f>
        <v>Várom a cikkszámot...</v>
      </c>
      <c r="C633" s="44"/>
      <c r="D633" s="40" t="str">
        <f>IFERROR(VLOOKUP(C633, Terméklista!I:J, 2, FALSE), "Várom a cikkszámot...")</f>
        <v>Várom a cikkszámot...</v>
      </c>
      <c r="E633" s="40"/>
      <c r="F633" s="40"/>
      <c r="G633" s="41"/>
    </row>
    <row r="634" spans="1:7" x14ac:dyDescent="0.3">
      <c r="A634" s="42"/>
      <c r="B634" s="40" t="str">
        <f>IFERROR(VLOOKUP(A634, Terméklista!I:J, 2, FALSE), "Várom a cikkszámot...")</f>
        <v>Várom a cikkszámot...</v>
      </c>
      <c r="C634" s="44"/>
      <c r="D634" s="40" t="str">
        <f>IFERROR(VLOOKUP(C634, Terméklista!I:J, 2, FALSE), "Várom a cikkszámot...")</f>
        <v>Várom a cikkszámot...</v>
      </c>
      <c r="E634" s="40"/>
      <c r="F634" s="40"/>
      <c r="G634" s="41"/>
    </row>
    <row r="635" spans="1:7" x14ac:dyDescent="0.3">
      <c r="A635" s="42"/>
      <c r="B635" s="40" t="str">
        <f>IFERROR(VLOOKUP(A635, Terméklista!I:J, 2, FALSE), "Várom a cikkszámot...")</f>
        <v>Várom a cikkszámot...</v>
      </c>
      <c r="C635" s="44"/>
      <c r="D635" s="40" t="str">
        <f>IFERROR(VLOOKUP(C635, Terméklista!I:J, 2, FALSE), "Várom a cikkszámot...")</f>
        <v>Várom a cikkszámot...</v>
      </c>
      <c r="E635" s="40"/>
      <c r="F635" s="40"/>
      <c r="G635" s="41"/>
    </row>
    <row r="636" spans="1:7" x14ac:dyDescent="0.3">
      <c r="A636" s="42"/>
      <c r="B636" s="40" t="str">
        <f>IFERROR(VLOOKUP(A636, Terméklista!I:J, 2, FALSE), "Várom a cikkszámot...")</f>
        <v>Várom a cikkszámot...</v>
      </c>
      <c r="C636" s="44"/>
      <c r="D636" s="40" t="str">
        <f>IFERROR(VLOOKUP(C636, Terméklista!I:J, 2, FALSE), "Várom a cikkszámot...")</f>
        <v>Várom a cikkszámot...</v>
      </c>
      <c r="E636" s="40"/>
      <c r="F636" s="40"/>
      <c r="G636" s="41"/>
    </row>
    <row r="637" spans="1:7" x14ac:dyDescent="0.3">
      <c r="A637" s="42"/>
      <c r="B637" s="40" t="str">
        <f>IFERROR(VLOOKUP(A637, Terméklista!I:J, 2, FALSE), "Várom a cikkszámot...")</f>
        <v>Várom a cikkszámot...</v>
      </c>
      <c r="C637" s="44"/>
      <c r="D637" s="40" t="str">
        <f>IFERROR(VLOOKUP(C637, Terméklista!I:J, 2, FALSE), "Várom a cikkszámot...")</f>
        <v>Várom a cikkszámot...</v>
      </c>
      <c r="E637" s="40"/>
      <c r="F637" s="40"/>
      <c r="G637" s="41"/>
    </row>
    <row r="638" spans="1:7" x14ac:dyDescent="0.3">
      <c r="A638" s="42"/>
      <c r="B638" s="40" t="str">
        <f>IFERROR(VLOOKUP(A638, Terméklista!I:J, 2, FALSE), "Várom a cikkszámot...")</f>
        <v>Várom a cikkszámot...</v>
      </c>
      <c r="C638" s="44"/>
      <c r="D638" s="40" t="str">
        <f>IFERROR(VLOOKUP(C638, Terméklista!I:J, 2, FALSE), "Várom a cikkszámot...")</f>
        <v>Várom a cikkszámot...</v>
      </c>
      <c r="E638" s="40"/>
      <c r="F638" s="40"/>
      <c r="G638" s="41"/>
    </row>
    <row r="639" spans="1:7" x14ac:dyDescent="0.3">
      <c r="A639" s="42"/>
      <c r="B639" s="40" t="str">
        <f>IFERROR(VLOOKUP(A639, Terméklista!I:J, 2, FALSE), "Várom a cikkszámot...")</f>
        <v>Várom a cikkszámot...</v>
      </c>
      <c r="C639" s="44"/>
      <c r="D639" s="40" t="str">
        <f>IFERROR(VLOOKUP(C639, Terméklista!I:J, 2, FALSE), "Várom a cikkszámot...")</f>
        <v>Várom a cikkszámot...</v>
      </c>
      <c r="E639" s="40"/>
      <c r="F639" s="40"/>
      <c r="G639" s="41"/>
    </row>
    <row r="640" spans="1:7" x14ac:dyDescent="0.3">
      <c r="A640" s="42"/>
      <c r="B640" s="40" t="str">
        <f>IFERROR(VLOOKUP(A640, Terméklista!I:J, 2, FALSE), "Várom a cikkszámot...")</f>
        <v>Várom a cikkszámot...</v>
      </c>
      <c r="C640" s="44"/>
      <c r="D640" s="40" t="str">
        <f>IFERROR(VLOOKUP(C640, Terméklista!I:J, 2, FALSE), "Várom a cikkszámot...")</f>
        <v>Várom a cikkszámot...</v>
      </c>
      <c r="E640" s="40"/>
      <c r="F640" s="40"/>
      <c r="G640" s="41"/>
    </row>
    <row r="641" spans="1:7" x14ac:dyDescent="0.3">
      <c r="A641" s="42"/>
      <c r="B641" s="40" t="str">
        <f>IFERROR(VLOOKUP(A641, Terméklista!I:J, 2, FALSE), "Várom a cikkszámot...")</f>
        <v>Várom a cikkszámot...</v>
      </c>
      <c r="C641" s="44"/>
      <c r="D641" s="40" t="str">
        <f>IFERROR(VLOOKUP(C641, Terméklista!I:J, 2, FALSE), "Várom a cikkszámot...")</f>
        <v>Várom a cikkszámot...</v>
      </c>
      <c r="E641" s="40"/>
      <c r="F641" s="40"/>
      <c r="G641" s="41"/>
    </row>
    <row r="642" spans="1:7" x14ac:dyDescent="0.3">
      <c r="A642" s="42"/>
      <c r="B642" s="40" t="str">
        <f>IFERROR(VLOOKUP(A642, Terméklista!I:J, 2, FALSE), "Várom a cikkszámot...")</f>
        <v>Várom a cikkszámot...</v>
      </c>
      <c r="C642" s="44"/>
      <c r="D642" s="40" t="str">
        <f>IFERROR(VLOOKUP(C642, Terméklista!I:J, 2, FALSE), "Várom a cikkszámot...")</f>
        <v>Várom a cikkszámot...</v>
      </c>
      <c r="E642" s="40"/>
      <c r="F642" s="40"/>
      <c r="G642" s="41"/>
    </row>
    <row r="643" spans="1:7" x14ac:dyDescent="0.3">
      <c r="A643" s="42"/>
      <c r="B643" s="40" t="str">
        <f>IFERROR(VLOOKUP(A643, Terméklista!I:J, 2, FALSE), "Várom a cikkszámot...")</f>
        <v>Várom a cikkszámot...</v>
      </c>
      <c r="C643" s="44"/>
      <c r="D643" s="40" t="str">
        <f>IFERROR(VLOOKUP(C643, Terméklista!I:J, 2, FALSE), "Várom a cikkszámot...")</f>
        <v>Várom a cikkszámot...</v>
      </c>
      <c r="E643" s="40"/>
      <c r="F643" s="40"/>
      <c r="G643" s="41"/>
    </row>
    <row r="644" spans="1:7" x14ac:dyDescent="0.3">
      <c r="A644" s="42"/>
      <c r="B644" s="40" t="str">
        <f>IFERROR(VLOOKUP(A644, Terméklista!I:J, 2, FALSE), "Várom a cikkszámot...")</f>
        <v>Várom a cikkszámot...</v>
      </c>
      <c r="C644" s="44"/>
      <c r="D644" s="40" t="str">
        <f>IFERROR(VLOOKUP(C644, Terméklista!I:J, 2, FALSE), "Várom a cikkszámot...")</f>
        <v>Várom a cikkszámot...</v>
      </c>
      <c r="E644" s="40"/>
      <c r="F644" s="40"/>
      <c r="G644" s="41"/>
    </row>
    <row r="645" spans="1:7" x14ac:dyDescent="0.3">
      <c r="A645" s="42"/>
      <c r="B645" s="40" t="str">
        <f>IFERROR(VLOOKUP(A645, Terméklista!I:J, 2, FALSE), "Várom a cikkszámot...")</f>
        <v>Várom a cikkszámot...</v>
      </c>
      <c r="C645" s="44"/>
      <c r="D645" s="40" t="str">
        <f>IFERROR(VLOOKUP(C645, Terméklista!I:J, 2, FALSE), "Várom a cikkszámot...")</f>
        <v>Várom a cikkszámot...</v>
      </c>
      <c r="E645" s="40"/>
      <c r="F645" s="40"/>
      <c r="G645" s="41"/>
    </row>
    <row r="646" spans="1:7" x14ac:dyDescent="0.3">
      <c r="A646" s="42"/>
      <c r="B646" s="40" t="str">
        <f>IFERROR(VLOOKUP(A646, Terméklista!I:J, 2, FALSE), "Várom a cikkszámot...")</f>
        <v>Várom a cikkszámot...</v>
      </c>
      <c r="C646" s="44"/>
      <c r="D646" s="40" t="str">
        <f>IFERROR(VLOOKUP(C646, Terméklista!I:J, 2, FALSE), "Várom a cikkszámot...")</f>
        <v>Várom a cikkszámot...</v>
      </c>
      <c r="E646" s="40"/>
      <c r="F646" s="40"/>
      <c r="G646" s="41"/>
    </row>
    <row r="647" spans="1:7" x14ac:dyDescent="0.3">
      <c r="A647" s="42"/>
      <c r="B647" s="40" t="str">
        <f>IFERROR(VLOOKUP(A647, Terméklista!I:J, 2, FALSE), "Várom a cikkszámot...")</f>
        <v>Várom a cikkszámot...</v>
      </c>
      <c r="C647" s="44"/>
      <c r="D647" s="40" t="str">
        <f>IFERROR(VLOOKUP(C647, Terméklista!I:J, 2, FALSE), "Várom a cikkszámot...")</f>
        <v>Várom a cikkszámot...</v>
      </c>
      <c r="E647" s="40"/>
      <c r="F647" s="40"/>
      <c r="G647" s="41"/>
    </row>
    <row r="648" spans="1:7" x14ac:dyDescent="0.3">
      <c r="A648" s="42"/>
      <c r="B648" s="40" t="str">
        <f>IFERROR(VLOOKUP(A648, Terméklista!I:J, 2, FALSE), "Várom a cikkszámot...")</f>
        <v>Várom a cikkszámot...</v>
      </c>
      <c r="C648" s="44"/>
      <c r="D648" s="40" t="str">
        <f>IFERROR(VLOOKUP(C648, Terméklista!I:J, 2, FALSE), "Várom a cikkszámot...")</f>
        <v>Várom a cikkszámot...</v>
      </c>
      <c r="E648" s="40"/>
      <c r="F648" s="40"/>
      <c r="G648" s="41"/>
    </row>
    <row r="649" spans="1:7" x14ac:dyDescent="0.3">
      <c r="A649" s="42"/>
      <c r="B649" s="40" t="str">
        <f>IFERROR(VLOOKUP(A649, Terméklista!I:J, 2, FALSE), "Várom a cikkszámot...")</f>
        <v>Várom a cikkszámot...</v>
      </c>
      <c r="C649" s="44"/>
      <c r="D649" s="40" t="str">
        <f>IFERROR(VLOOKUP(C649, Terméklista!I:J, 2, FALSE), "Várom a cikkszámot...")</f>
        <v>Várom a cikkszámot...</v>
      </c>
      <c r="E649" s="40"/>
      <c r="F649" s="40"/>
      <c r="G649" s="41"/>
    </row>
    <row r="650" spans="1:7" x14ac:dyDescent="0.3">
      <c r="A650" s="42"/>
      <c r="B650" s="40" t="str">
        <f>IFERROR(VLOOKUP(A650, Terméklista!I:J, 2, FALSE), "Várom a cikkszámot...")</f>
        <v>Várom a cikkszámot...</v>
      </c>
      <c r="C650" s="44"/>
      <c r="D650" s="40" t="str">
        <f>IFERROR(VLOOKUP(C650, Terméklista!I:J, 2, FALSE), "Várom a cikkszámot...")</f>
        <v>Várom a cikkszámot...</v>
      </c>
      <c r="E650" s="40"/>
      <c r="F650" s="40"/>
      <c r="G650" s="41"/>
    </row>
    <row r="651" spans="1:7" x14ac:dyDescent="0.3">
      <c r="A651" s="42"/>
      <c r="B651" s="40" t="str">
        <f>IFERROR(VLOOKUP(A651, Terméklista!I:J, 2, FALSE), "Várom a cikkszámot...")</f>
        <v>Várom a cikkszámot...</v>
      </c>
      <c r="C651" s="44"/>
      <c r="D651" s="40" t="str">
        <f>IFERROR(VLOOKUP(C651, Terméklista!I:J, 2, FALSE), "Várom a cikkszámot...")</f>
        <v>Várom a cikkszámot...</v>
      </c>
      <c r="E651" s="40"/>
      <c r="F651" s="40"/>
      <c r="G651" s="41"/>
    </row>
    <row r="652" spans="1:7" x14ac:dyDescent="0.3">
      <c r="A652" s="42"/>
      <c r="B652" s="40" t="str">
        <f>IFERROR(VLOOKUP(A652, Terméklista!I:J, 2, FALSE), "Várom a cikkszámot...")</f>
        <v>Várom a cikkszámot...</v>
      </c>
      <c r="C652" s="44"/>
      <c r="D652" s="40" t="str">
        <f>IFERROR(VLOOKUP(C652, Terméklista!I:J, 2, FALSE), "Várom a cikkszámot...")</f>
        <v>Várom a cikkszámot...</v>
      </c>
      <c r="E652" s="40"/>
      <c r="F652" s="40"/>
      <c r="G652" s="41"/>
    </row>
    <row r="653" spans="1:7" x14ac:dyDescent="0.3">
      <c r="A653" s="42"/>
      <c r="B653" s="40" t="str">
        <f>IFERROR(VLOOKUP(A653, Terméklista!I:J, 2, FALSE), "Várom a cikkszámot...")</f>
        <v>Várom a cikkszámot...</v>
      </c>
      <c r="C653" s="44"/>
      <c r="D653" s="40" t="str">
        <f>IFERROR(VLOOKUP(C653, Terméklista!I:J, 2, FALSE), "Várom a cikkszámot...")</f>
        <v>Várom a cikkszámot...</v>
      </c>
      <c r="E653" s="40"/>
      <c r="F653" s="40"/>
      <c r="G653" s="41"/>
    </row>
    <row r="654" spans="1:7" x14ac:dyDescent="0.3">
      <c r="A654" s="42"/>
      <c r="B654" s="40" t="str">
        <f>IFERROR(VLOOKUP(A654, Terméklista!I:J, 2, FALSE), "Várom a cikkszámot...")</f>
        <v>Várom a cikkszámot...</v>
      </c>
      <c r="C654" s="44"/>
      <c r="D654" s="40" t="str">
        <f>IFERROR(VLOOKUP(C654, Terméklista!I:J, 2, FALSE), "Várom a cikkszámot...")</f>
        <v>Várom a cikkszámot...</v>
      </c>
      <c r="E654" s="40"/>
      <c r="F654" s="40"/>
      <c r="G654" s="41"/>
    </row>
    <row r="655" spans="1:7" x14ac:dyDescent="0.3">
      <c r="A655" s="42"/>
      <c r="B655" s="40" t="str">
        <f>IFERROR(VLOOKUP(A655, Terméklista!I:J, 2, FALSE), "Várom a cikkszámot...")</f>
        <v>Várom a cikkszámot...</v>
      </c>
      <c r="C655" s="44"/>
      <c r="D655" s="40" t="str">
        <f>IFERROR(VLOOKUP(C655, Terméklista!I:J, 2, FALSE), "Várom a cikkszámot...")</f>
        <v>Várom a cikkszámot...</v>
      </c>
      <c r="E655" s="40"/>
      <c r="F655" s="40"/>
      <c r="G655" s="41"/>
    </row>
    <row r="656" spans="1:7" x14ac:dyDescent="0.3">
      <c r="A656" s="42"/>
      <c r="B656" s="40" t="str">
        <f>IFERROR(VLOOKUP(A656, Terméklista!I:J, 2, FALSE), "Várom a cikkszámot...")</f>
        <v>Várom a cikkszámot...</v>
      </c>
      <c r="C656" s="44"/>
      <c r="D656" s="40" t="str">
        <f>IFERROR(VLOOKUP(C656, Terméklista!I:J, 2, FALSE), "Várom a cikkszámot...")</f>
        <v>Várom a cikkszámot...</v>
      </c>
      <c r="E656" s="40"/>
      <c r="F656" s="40"/>
      <c r="G656" s="41"/>
    </row>
    <row r="657" spans="1:7" x14ac:dyDescent="0.3">
      <c r="A657" s="42"/>
      <c r="B657" s="40" t="str">
        <f>IFERROR(VLOOKUP(A657, Terméklista!I:J, 2, FALSE), "Várom a cikkszámot...")</f>
        <v>Várom a cikkszámot...</v>
      </c>
      <c r="C657" s="44"/>
      <c r="D657" s="40" t="str">
        <f>IFERROR(VLOOKUP(C657, Terméklista!I:J, 2, FALSE), "Várom a cikkszámot...")</f>
        <v>Várom a cikkszámot...</v>
      </c>
      <c r="E657" s="40"/>
      <c r="F657" s="40"/>
      <c r="G657" s="41"/>
    </row>
    <row r="658" spans="1:7" x14ac:dyDescent="0.3">
      <c r="A658" s="42"/>
      <c r="B658" s="40" t="str">
        <f>IFERROR(VLOOKUP(A658, Terméklista!I:J, 2, FALSE), "Várom a cikkszámot...")</f>
        <v>Várom a cikkszámot...</v>
      </c>
      <c r="C658" s="44"/>
      <c r="D658" s="40" t="str">
        <f>IFERROR(VLOOKUP(C658, Terméklista!I:J, 2, FALSE), "Várom a cikkszámot...")</f>
        <v>Várom a cikkszámot...</v>
      </c>
      <c r="E658" s="40"/>
      <c r="F658" s="40"/>
      <c r="G658" s="41"/>
    </row>
    <row r="659" spans="1:7" x14ac:dyDescent="0.3">
      <c r="A659" s="42"/>
      <c r="B659" s="40" t="str">
        <f>IFERROR(VLOOKUP(A659, Terméklista!I:J, 2, FALSE), "Várom a cikkszámot...")</f>
        <v>Várom a cikkszámot...</v>
      </c>
      <c r="C659" s="44"/>
      <c r="D659" s="40" t="str">
        <f>IFERROR(VLOOKUP(C659, Terméklista!I:J, 2, FALSE), "Várom a cikkszámot...")</f>
        <v>Várom a cikkszámot...</v>
      </c>
      <c r="E659" s="40"/>
      <c r="F659" s="40"/>
      <c r="G659" s="41"/>
    </row>
    <row r="660" spans="1:7" x14ac:dyDescent="0.3">
      <c r="A660" s="42"/>
      <c r="B660" s="40" t="str">
        <f>IFERROR(VLOOKUP(A660, Terméklista!I:J, 2, FALSE), "Várom a cikkszámot...")</f>
        <v>Várom a cikkszámot...</v>
      </c>
      <c r="C660" s="44"/>
      <c r="D660" s="40" t="str">
        <f>IFERROR(VLOOKUP(C660, Terméklista!I:J, 2, FALSE), "Várom a cikkszámot...")</f>
        <v>Várom a cikkszámot...</v>
      </c>
      <c r="E660" s="40"/>
      <c r="F660" s="40"/>
      <c r="G660" s="41"/>
    </row>
    <row r="661" spans="1:7" x14ac:dyDescent="0.3">
      <c r="A661" s="42"/>
      <c r="B661" s="40" t="str">
        <f>IFERROR(VLOOKUP(A661, Terméklista!I:J, 2, FALSE), "Várom a cikkszámot...")</f>
        <v>Várom a cikkszámot...</v>
      </c>
      <c r="C661" s="44"/>
      <c r="D661" s="40" t="str">
        <f>IFERROR(VLOOKUP(C661, Terméklista!I:J, 2, FALSE), "Várom a cikkszámot...")</f>
        <v>Várom a cikkszámot...</v>
      </c>
      <c r="E661" s="40"/>
      <c r="F661" s="40"/>
      <c r="G661" s="41"/>
    </row>
    <row r="662" spans="1:7" x14ac:dyDescent="0.3">
      <c r="A662" s="42"/>
      <c r="B662" s="40" t="str">
        <f>IFERROR(VLOOKUP(A662, Terméklista!I:J, 2, FALSE), "Várom a cikkszámot...")</f>
        <v>Várom a cikkszámot...</v>
      </c>
      <c r="C662" s="44"/>
      <c r="D662" s="40" t="str">
        <f>IFERROR(VLOOKUP(C662, Terméklista!I:J, 2, FALSE), "Várom a cikkszámot...")</f>
        <v>Várom a cikkszámot...</v>
      </c>
      <c r="E662" s="40"/>
      <c r="F662" s="40"/>
      <c r="G662" s="41"/>
    </row>
    <row r="663" spans="1:7" x14ac:dyDescent="0.3">
      <c r="A663" s="42"/>
      <c r="B663" s="40" t="str">
        <f>IFERROR(VLOOKUP(A663, Terméklista!I:J, 2, FALSE), "Várom a cikkszámot...")</f>
        <v>Várom a cikkszámot...</v>
      </c>
      <c r="C663" s="44"/>
      <c r="D663" s="40" t="str">
        <f>IFERROR(VLOOKUP(C663, Terméklista!I:J, 2, FALSE), "Várom a cikkszámot...")</f>
        <v>Várom a cikkszámot...</v>
      </c>
      <c r="E663" s="40"/>
      <c r="F663" s="40"/>
      <c r="G663" s="41"/>
    </row>
    <row r="664" spans="1:7" x14ac:dyDescent="0.3">
      <c r="A664" s="42"/>
      <c r="B664" s="40" t="str">
        <f>IFERROR(VLOOKUP(A664, Terméklista!I:J, 2, FALSE), "Várom a cikkszámot...")</f>
        <v>Várom a cikkszámot...</v>
      </c>
      <c r="C664" s="44"/>
      <c r="D664" s="40" t="str">
        <f>IFERROR(VLOOKUP(C664, Terméklista!I:J, 2, FALSE), "Várom a cikkszámot...")</f>
        <v>Várom a cikkszámot...</v>
      </c>
      <c r="E664" s="40"/>
      <c r="F664" s="40"/>
      <c r="G664" s="41"/>
    </row>
    <row r="665" spans="1:7" x14ac:dyDescent="0.3">
      <c r="A665" s="42"/>
      <c r="B665" s="40" t="str">
        <f>IFERROR(VLOOKUP(A665, Terméklista!I:J, 2, FALSE), "Várom a cikkszámot...")</f>
        <v>Várom a cikkszámot...</v>
      </c>
      <c r="C665" s="44"/>
      <c r="D665" s="40" t="str">
        <f>IFERROR(VLOOKUP(C665, Terméklista!I:J, 2, FALSE), "Várom a cikkszámot...")</f>
        <v>Várom a cikkszámot...</v>
      </c>
      <c r="E665" s="40"/>
      <c r="F665" s="40"/>
      <c r="G665" s="41"/>
    </row>
    <row r="666" spans="1:7" x14ac:dyDescent="0.3">
      <c r="A666" s="42"/>
      <c r="B666" s="40" t="str">
        <f>IFERROR(VLOOKUP(A666, Terméklista!I:J, 2, FALSE), "Várom a cikkszámot...")</f>
        <v>Várom a cikkszámot...</v>
      </c>
      <c r="C666" s="44"/>
      <c r="D666" s="40" t="str">
        <f>IFERROR(VLOOKUP(C666, Terméklista!I:J, 2, FALSE), "Várom a cikkszámot...")</f>
        <v>Várom a cikkszámot...</v>
      </c>
      <c r="E666" s="40"/>
      <c r="F666" s="40"/>
      <c r="G666" s="41"/>
    </row>
    <row r="667" spans="1:7" x14ac:dyDescent="0.3">
      <c r="A667" s="42"/>
      <c r="B667" s="40" t="str">
        <f>IFERROR(VLOOKUP(A667, Terméklista!I:J, 2, FALSE), "Várom a cikkszámot...")</f>
        <v>Várom a cikkszámot...</v>
      </c>
      <c r="C667" s="44"/>
      <c r="D667" s="40" t="str">
        <f>IFERROR(VLOOKUP(C667, Terméklista!I:J, 2, FALSE), "Várom a cikkszámot...")</f>
        <v>Várom a cikkszámot...</v>
      </c>
      <c r="E667" s="40"/>
      <c r="F667" s="40"/>
      <c r="G667" s="41"/>
    </row>
    <row r="668" spans="1:7" x14ac:dyDescent="0.3">
      <c r="A668" s="42"/>
      <c r="B668" s="40" t="str">
        <f>IFERROR(VLOOKUP(A668, Terméklista!I:J, 2, FALSE), "Várom a cikkszámot...")</f>
        <v>Várom a cikkszámot...</v>
      </c>
      <c r="C668" s="44"/>
      <c r="D668" s="40" t="str">
        <f>IFERROR(VLOOKUP(C668, Terméklista!I:J, 2, FALSE), "Várom a cikkszámot...")</f>
        <v>Várom a cikkszámot...</v>
      </c>
      <c r="E668" s="40"/>
      <c r="F668" s="40"/>
      <c r="G668" s="41"/>
    </row>
    <row r="669" spans="1:7" x14ac:dyDescent="0.3">
      <c r="A669" s="42"/>
      <c r="B669" s="40" t="str">
        <f>IFERROR(VLOOKUP(A669, Terméklista!I:J, 2, FALSE), "Várom a cikkszámot...")</f>
        <v>Várom a cikkszámot...</v>
      </c>
      <c r="C669" s="44"/>
      <c r="D669" s="40" t="str">
        <f>IFERROR(VLOOKUP(C669, Terméklista!I:J, 2, FALSE), "Várom a cikkszámot...")</f>
        <v>Várom a cikkszámot...</v>
      </c>
      <c r="E669" s="40"/>
      <c r="F669" s="40"/>
      <c r="G669" s="41"/>
    </row>
    <row r="670" spans="1:7" x14ac:dyDescent="0.3">
      <c r="A670" s="42"/>
      <c r="B670" s="40" t="str">
        <f>IFERROR(VLOOKUP(A670, Terméklista!I:J, 2, FALSE), "Várom a cikkszámot...")</f>
        <v>Várom a cikkszámot...</v>
      </c>
      <c r="C670" s="44"/>
      <c r="D670" s="40" t="str">
        <f>IFERROR(VLOOKUP(C670, Terméklista!I:J, 2, FALSE), "Várom a cikkszámot...")</f>
        <v>Várom a cikkszámot...</v>
      </c>
      <c r="E670" s="40"/>
      <c r="F670" s="40"/>
      <c r="G670" s="41"/>
    </row>
    <row r="671" spans="1:7" x14ac:dyDescent="0.3">
      <c r="A671" s="42"/>
      <c r="B671" s="40" t="str">
        <f>IFERROR(VLOOKUP(A671, Terméklista!I:J, 2, FALSE), "Várom a cikkszámot...")</f>
        <v>Várom a cikkszámot...</v>
      </c>
      <c r="C671" s="44"/>
      <c r="D671" s="40" t="str">
        <f>IFERROR(VLOOKUP(C671, Terméklista!I:J, 2, FALSE), "Várom a cikkszámot...")</f>
        <v>Várom a cikkszámot...</v>
      </c>
      <c r="E671" s="40"/>
      <c r="F671" s="40"/>
      <c r="G671" s="41"/>
    </row>
    <row r="672" spans="1:7" x14ac:dyDescent="0.3">
      <c r="A672" s="42"/>
      <c r="B672" s="40" t="str">
        <f>IFERROR(VLOOKUP(A672, Terméklista!I:J, 2, FALSE), "Várom a cikkszámot...")</f>
        <v>Várom a cikkszámot...</v>
      </c>
      <c r="C672" s="44"/>
      <c r="D672" s="40" t="str">
        <f>IFERROR(VLOOKUP(C672, Terméklista!I:J, 2, FALSE), "Várom a cikkszámot...")</f>
        <v>Várom a cikkszámot...</v>
      </c>
      <c r="E672" s="40"/>
      <c r="F672" s="40"/>
      <c r="G672" s="41"/>
    </row>
    <row r="673" spans="1:7" x14ac:dyDescent="0.3">
      <c r="A673" s="42"/>
      <c r="B673" s="40" t="str">
        <f>IFERROR(VLOOKUP(A673, Terméklista!I:J, 2, FALSE), "Várom a cikkszámot...")</f>
        <v>Várom a cikkszámot...</v>
      </c>
      <c r="C673" s="44"/>
      <c r="D673" s="40" t="str">
        <f>IFERROR(VLOOKUP(C673, Terméklista!I:J, 2, FALSE), "Várom a cikkszámot...")</f>
        <v>Várom a cikkszámot...</v>
      </c>
      <c r="E673" s="40"/>
      <c r="F673" s="40"/>
      <c r="G673" s="41"/>
    </row>
    <row r="674" spans="1:7" x14ac:dyDescent="0.3">
      <c r="A674" s="42"/>
      <c r="B674" s="40" t="str">
        <f>IFERROR(VLOOKUP(A674, Terméklista!I:J, 2, FALSE), "Várom a cikkszámot...")</f>
        <v>Várom a cikkszámot...</v>
      </c>
      <c r="C674" s="44"/>
      <c r="D674" s="40" t="str">
        <f>IFERROR(VLOOKUP(C674, Terméklista!I:J, 2, FALSE), "Várom a cikkszámot...")</f>
        <v>Várom a cikkszámot...</v>
      </c>
      <c r="E674" s="40"/>
      <c r="F674" s="40"/>
      <c r="G674" s="41"/>
    </row>
    <row r="675" spans="1:7" x14ac:dyDescent="0.3">
      <c r="A675" s="42"/>
      <c r="B675" s="40" t="str">
        <f>IFERROR(VLOOKUP(A675, Terméklista!I:J, 2, FALSE), "Várom a cikkszámot...")</f>
        <v>Várom a cikkszámot...</v>
      </c>
      <c r="C675" s="44"/>
      <c r="D675" s="40" t="str">
        <f>IFERROR(VLOOKUP(C675, Terméklista!I:J, 2, FALSE), "Várom a cikkszámot...")</f>
        <v>Várom a cikkszámot...</v>
      </c>
      <c r="E675" s="40"/>
      <c r="F675" s="40"/>
      <c r="G675" s="41"/>
    </row>
    <row r="676" spans="1:7" x14ac:dyDescent="0.3">
      <c r="A676" s="42"/>
      <c r="B676" s="40" t="str">
        <f>IFERROR(VLOOKUP(A676, Terméklista!I:J, 2, FALSE), "Várom a cikkszámot...")</f>
        <v>Várom a cikkszámot...</v>
      </c>
      <c r="C676" s="44"/>
      <c r="D676" s="40" t="str">
        <f>IFERROR(VLOOKUP(C676, Terméklista!I:J, 2, FALSE), "Várom a cikkszámot...")</f>
        <v>Várom a cikkszámot...</v>
      </c>
      <c r="E676" s="40"/>
      <c r="F676" s="40"/>
      <c r="G676" s="41"/>
    </row>
    <row r="677" spans="1:7" x14ac:dyDescent="0.3">
      <c r="A677" s="42"/>
      <c r="B677" s="40" t="str">
        <f>IFERROR(VLOOKUP(A677, Terméklista!I:J, 2, FALSE), "Várom a cikkszámot...")</f>
        <v>Várom a cikkszámot...</v>
      </c>
      <c r="C677" s="44"/>
      <c r="D677" s="40" t="str">
        <f>IFERROR(VLOOKUP(C677, Terméklista!I:J, 2, FALSE), "Várom a cikkszámot...")</f>
        <v>Várom a cikkszámot...</v>
      </c>
      <c r="E677" s="40"/>
      <c r="F677" s="40"/>
      <c r="G677" s="41"/>
    </row>
    <row r="678" spans="1:7" x14ac:dyDescent="0.3">
      <c r="A678" s="42"/>
      <c r="B678" s="40" t="str">
        <f>IFERROR(VLOOKUP(A678, Terméklista!I:J, 2, FALSE), "Várom a cikkszámot...")</f>
        <v>Várom a cikkszámot...</v>
      </c>
      <c r="C678" s="44"/>
      <c r="D678" s="40" t="str">
        <f>IFERROR(VLOOKUP(C678, Terméklista!I:J, 2, FALSE), "Várom a cikkszámot...")</f>
        <v>Várom a cikkszámot...</v>
      </c>
      <c r="E678" s="40"/>
      <c r="F678" s="40"/>
      <c r="G678" s="41"/>
    </row>
    <row r="679" spans="1:7" x14ac:dyDescent="0.3">
      <c r="A679" s="42"/>
      <c r="B679" s="40" t="str">
        <f>IFERROR(VLOOKUP(A679, Terméklista!I:J, 2, FALSE), "Várom a cikkszámot...")</f>
        <v>Várom a cikkszámot...</v>
      </c>
      <c r="C679" s="44"/>
      <c r="D679" s="40" t="str">
        <f>IFERROR(VLOOKUP(C679, Terméklista!I:J, 2, FALSE), "Várom a cikkszámot...")</f>
        <v>Várom a cikkszámot...</v>
      </c>
      <c r="E679" s="40"/>
      <c r="F679" s="40"/>
      <c r="G679" s="41"/>
    </row>
    <row r="680" spans="1:7" x14ac:dyDescent="0.3">
      <c r="A680" s="42"/>
      <c r="B680" s="40" t="str">
        <f>IFERROR(VLOOKUP(A680, Terméklista!I:J, 2, FALSE), "Várom a cikkszámot...")</f>
        <v>Várom a cikkszámot...</v>
      </c>
      <c r="C680" s="44"/>
      <c r="D680" s="40" t="str">
        <f>IFERROR(VLOOKUP(C680, Terméklista!I:J, 2, FALSE), "Várom a cikkszámot...")</f>
        <v>Várom a cikkszámot...</v>
      </c>
      <c r="E680" s="40"/>
      <c r="F680" s="40"/>
      <c r="G680" s="41"/>
    </row>
    <row r="681" spans="1:7" x14ac:dyDescent="0.3">
      <c r="A681" s="42"/>
      <c r="B681" s="40" t="str">
        <f>IFERROR(VLOOKUP(A681, Terméklista!I:J, 2, FALSE), "Várom a cikkszámot...")</f>
        <v>Várom a cikkszámot...</v>
      </c>
      <c r="C681" s="44"/>
      <c r="D681" s="40" t="str">
        <f>IFERROR(VLOOKUP(C681, Terméklista!I:J, 2, FALSE), "Várom a cikkszámot...")</f>
        <v>Várom a cikkszámot...</v>
      </c>
      <c r="E681" s="40"/>
      <c r="F681" s="40"/>
      <c r="G681" s="41"/>
    </row>
    <row r="682" spans="1:7" x14ac:dyDescent="0.3">
      <c r="A682" s="42"/>
      <c r="B682" s="40" t="str">
        <f>IFERROR(VLOOKUP(A682, Terméklista!I:J, 2, FALSE), "Várom a cikkszámot...")</f>
        <v>Várom a cikkszámot...</v>
      </c>
      <c r="C682" s="44"/>
      <c r="D682" s="40" t="str">
        <f>IFERROR(VLOOKUP(C682, Terméklista!I:J, 2, FALSE), "Várom a cikkszámot...")</f>
        <v>Várom a cikkszámot...</v>
      </c>
      <c r="E682" s="40"/>
      <c r="F682" s="40"/>
      <c r="G682" s="41"/>
    </row>
    <row r="683" spans="1:7" x14ac:dyDescent="0.3">
      <c r="A683" s="42"/>
      <c r="B683" s="40" t="str">
        <f>IFERROR(VLOOKUP(A683, Terméklista!I:J, 2, FALSE), "Várom a cikkszámot...")</f>
        <v>Várom a cikkszámot...</v>
      </c>
      <c r="C683" s="44"/>
      <c r="D683" s="40" t="str">
        <f>IFERROR(VLOOKUP(C683, Terméklista!I:J, 2, FALSE), "Várom a cikkszámot...")</f>
        <v>Várom a cikkszámot...</v>
      </c>
      <c r="E683" s="40"/>
      <c r="F683" s="40"/>
      <c r="G683" s="41"/>
    </row>
    <row r="684" spans="1:7" x14ac:dyDescent="0.3">
      <c r="A684" s="42"/>
      <c r="B684" s="40" t="str">
        <f>IFERROR(VLOOKUP(A684, Terméklista!I:J, 2, FALSE), "Várom a cikkszámot...")</f>
        <v>Várom a cikkszámot...</v>
      </c>
      <c r="C684" s="44"/>
      <c r="D684" s="40" t="str">
        <f>IFERROR(VLOOKUP(C684, Terméklista!I:J, 2, FALSE), "Várom a cikkszámot...")</f>
        <v>Várom a cikkszámot...</v>
      </c>
      <c r="E684" s="40"/>
      <c r="F684" s="40"/>
      <c r="G684" s="41"/>
    </row>
    <row r="685" spans="1:7" x14ac:dyDescent="0.3">
      <c r="A685" s="42"/>
      <c r="B685" s="40" t="str">
        <f>IFERROR(VLOOKUP(A685, Terméklista!I:J, 2, FALSE), "Várom a cikkszámot...")</f>
        <v>Várom a cikkszámot...</v>
      </c>
      <c r="C685" s="44"/>
      <c r="D685" s="40" t="str">
        <f>IFERROR(VLOOKUP(C685, Terméklista!I:J, 2, FALSE), "Várom a cikkszámot...")</f>
        <v>Várom a cikkszámot...</v>
      </c>
      <c r="E685" s="40"/>
      <c r="F685" s="40"/>
      <c r="G685" s="41"/>
    </row>
    <row r="686" spans="1:7" x14ac:dyDescent="0.3">
      <c r="A686" s="42"/>
      <c r="B686" s="40" t="str">
        <f>IFERROR(VLOOKUP(A686, Terméklista!I:J, 2, FALSE), "Várom a cikkszámot...")</f>
        <v>Várom a cikkszámot...</v>
      </c>
      <c r="C686" s="44"/>
      <c r="D686" s="40" t="str">
        <f>IFERROR(VLOOKUP(C686, Terméklista!I:J, 2, FALSE), "Várom a cikkszámot...")</f>
        <v>Várom a cikkszámot...</v>
      </c>
      <c r="E686" s="40"/>
      <c r="F686" s="40"/>
      <c r="G686" s="41"/>
    </row>
    <row r="687" spans="1:7" x14ac:dyDescent="0.3">
      <c r="A687" s="42"/>
      <c r="B687" s="40" t="str">
        <f>IFERROR(VLOOKUP(A687, Terméklista!I:J, 2, FALSE), "Várom a cikkszámot...")</f>
        <v>Várom a cikkszámot...</v>
      </c>
      <c r="C687" s="44"/>
      <c r="D687" s="40" t="str">
        <f>IFERROR(VLOOKUP(C687, Terméklista!I:J, 2, FALSE), "Várom a cikkszámot...")</f>
        <v>Várom a cikkszámot...</v>
      </c>
      <c r="E687" s="40"/>
      <c r="F687" s="40"/>
      <c r="G687" s="41"/>
    </row>
    <row r="688" spans="1:7" x14ac:dyDescent="0.3">
      <c r="A688" s="42"/>
      <c r="B688" s="40" t="str">
        <f>IFERROR(VLOOKUP(A688, Terméklista!I:J, 2, FALSE), "Várom a cikkszámot...")</f>
        <v>Várom a cikkszámot...</v>
      </c>
      <c r="C688" s="44"/>
      <c r="D688" s="40" t="str">
        <f>IFERROR(VLOOKUP(C688, Terméklista!I:J, 2, FALSE), "Várom a cikkszámot...")</f>
        <v>Várom a cikkszámot...</v>
      </c>
      <c r="E688" s="40"/>
      <c r="F688" s="40"/>
      <c r="G688" s="41"/>
    </row>
    <row r="689" spans="1:7" x14ac:dyDescent="0.3">
      <c r="A689" s="42"/>
      <c r="B689" s="40" t="str">
        <f>IFERROR(VLOOKUP(A689, Terméklista!I:J, 2, FALSE), "Várom a cikkszámot...")</f>
        <v>Várom a cikkszámot...</v>
      </c>
      <c r="C689" s="44"/>
      <c r="D689" s="40" t="str">
        <f>IFERROR(VLOOKUP(C689, Terméklista!I:J, 2, FALSE), "Várom a cikkszámot...")</f>
        <v>Várom a cikkszámot...</v>
      </c>
      <c r="E689" s="40"/>
      <c r="F689" s="40"/>
      <c r="G689" s="41"/>
    </row>
    <row r="690" spans="1:7" x14ac:dyDescent="0.3">
      <c r="A690" s="42"/>
      <c r="B690" s="40" t="str">
        <f>IFERROR(VLOOKUP(A690, Terméklista!I:J, 2, FALSE), "Várom a cikkszámot...")</f>
        <v>Várom a cikkszámot...</v>
      </c>
      <c r="C690" s="44"/>
      <c r="D690" s="40" t="str">
        <f>IFERROR(VLOOKUP(C690, Terméklista!I:J, 2, FALSE), "Várom a cikkszámot...")</f>
        <v>Várom a cikkszámot...</v>
      </c>
      <c r="E690" s="40"/>
      <c r="F690" s="40"/>
      <c r="G690" s="41"/>
    </row>
    <row r="691" spans="1:7" x14ac:dyDescent="0.3">
      <c r="A691" s="42"/>
      <c r="B691" s="40" t="str">
        <f>IFERROR(VLOOKUP(A691, Terméklista!I:J, 2, FALSE), "Várom a cikkszámot...")</f>
        <v>Várom a cikkszámot...</v>
      </c>
      <c r="C691" s="44"/>
      <c r="D691" s="40" t="str">
        <f>IFERROR(VLOOKUP(C691, Terméklista!I:J, 2, FALSE), "Várom a cikkszámot...")</f>
        <v>Várom a cikkszámot...</v>
      </c>
      <c r="E691" s="40"/>
      <c r="F691" s="40"/>
      <c r="G691" s="41"/>
    </row>
    <row r="692" spans="1:7" x14ac:dyDescent="0.3">
      <c r="A692" s="42"/>
      <c r="B692" s="40" t="str">
        <f>IFERROR(VLOOKUP(A692, Terméklista!I:J, 2, FALSE), "Várom a cikkszámot...")</f>
        <v>Várom a cikkszámot...</v>
      </c>
      <c r="C692" s="44"/>
      <c r="D692" s="40" t="str">
        <f>IFERROR(VLOOKUP(C692, Terméklista!I:J, 2, FALSE), "Várom a cikkszámot...")</f>
        <v>Várom a cikkszámot...</v>
      </c>
      <c r="E692" s="40"/>
      <c r="F692" s="40"/>
      <c r="G692" s="41"/>
    </row>
    <row r="693" spans="1:7" x14ac:dyDescent="0.3">
      <c r="A693" s="42"/>
      <c r="B693" s="40" t="str">
        <f>IFERROR(VLOOKUP(A693, Terméklista!I:J, 2, FALSE), "Várom a cikkszámot...")</f>
        <v>Várom a cikkszámot...</v>
      </c>
      <c r="C693" s="44"/>
      <c r="D693" s="40" t="str">
        <f>IFERROR(VLOOKUP(C693, Terméklista!I:J, 2, FALSE), "Várom a cikkszámot...")</f>
        <v>Várom a cikkszámot...</v>
      </c>
      <c r="E693" s="40"/>
      <c r="F693" s="40"/>
      <c r="G693" s="41"/>
    </row>
    <row r="694" spans="1:7" x14ac:dyDescent="0.3">
      <c r="A694" s="42"/>
      <c r="B694" s="40" t="str">
        <f>IFERROR(VLOOKUP(A694, Terméklista!I:J, 2, FALSE), "Várom a cikkszámot...")</f>
        <v>Várom a cikkszámot...</v>
      </c>
      <c r="C694" s="44"/>
      <c r="D694" s="40" t="str">
        <f>IFERROR(VLOOKUP(C694, Terméklista!I:J, 2, FALSE), "Várom a cikkszámot...")</f>
        <v>Várom a cikkszámot...</v>
      </c>
      <c r="E694" s="40"/>
      <c r="F694" s="40"/>
      <c r="G694" s="41"/>
    </row>
    <row r="695" spans="1:7" x14ac:dyDescent="0.3">
      <c r="A695" s="42"/>
      <c r="B695" s="40" t="str">
        <f>IFERROR(VLOOKUP(A695, Terméklista!I:J, 2, FALSE), "Várom a cikkszámot...")</f>
        <v>Várom a cikkszámot...</v>
      </c>
      <c r="C695" s="44"/>
      <c r="D695" s="40" t="str">
        <f>IFERROR(VLOOKUP(C695, Terméklista!I:J, 2, FALSE), "Várom a cikkszámot...")</f>
        <v>Várom a cikkszámot...</v>
      </c>
      <c r="E695" s="40"/>
      <c r="F695" s="40"/>
      <c r="G695" s="41"/>
    </row>
    <row r="696" spans="1:7" x14ac:dyDescent="0.3">
      <c r="A696" s="42"/>
      <c r="B696" s="40" t="str">
        <f>IFERROR(VLOOKUP(A696, Terméklista!I:J, 2, FALSE), "Várom a cikkszámot...")</f>
        <v>Várom a cikkszámot...</v>
      </c>
      <c r="C696" s="44"/>
      <c r="D696" s="40" t="str">
        <f>IFERROR(VLOOKUP(C696, Terméklista!I:J, 2, FALSE), "Várom a cikkszámot...")</f>
        <v>Várom a cikkszámot...</v>
      </c>
      <c r="E696" s="40"/>
      <c r="F696" s="40"/>
      <c r="G696" s="41"/>
    </row>
    <row r="697" spans="1:7" x14ac:dyDescent="0.3">
      <c r="A697" s="42"/>
      <c r="B697" s="40" t="str">
        <f>IFERROR(VLOOKUP(A697, Terméklista!I:J, 2, FALSE), "Várom a cikkszámot...")</f>
        <v>Várom a cikkszámot...</v>
      </c>
      <c r="C697" s="44"/>
      <c r="D697" s="40" t="str">
        <f>IFERROR(VLOOKUP(C697, Terméklista!I:J, 2, FALSE), "Várom a cikkszámot...")</f>
        <v>Várom a cikkszámot...</v>
      </c>
      <c r="E697" s="40"/>
      <c r="F697" s="40"/>
      <c r="G697" s="41"/>
    </row>
    <row r="698" spans="1:7" x14ac:dyDescent="0.3">
      <c r="A698" s="42"/>
      <c r="B698" s="40" t="str">
        <f>IFERROR(VLOOKUP(A698, Terméklista!I:J, 2, FALSE), "Várom a cikkszámot...")</f>
        <v>Várom a cikkszámot...</v>
      </c>
      <c r="C698" s="44"/>
      <c r="D698" s="40" t="str">
        <f>IFERROR(VLOOKUP(C698, Terméklista!I:J, 2, FALSE), "Várom a cikkszámot...")</f>
        <v>Várom a cikkszámot...</v>
      </c>
      <c r="E698" s="40"/>
      <c r="F698" s="40"/>
      <c r="G698" s="41"/>
    </row>
    <row r="699" spans="1:7" x14ac:dyDescent="0.3">
      <c r="A699" s="42"/>
      <c r="B699" s="40" t="str">
        <f>IFERROR(VLOOKUP(A699, Terméklista!I:J, 2, FALSE), "Várom a cikkszámot...")</f>
        <v>Várom a cikkszámot...</v>
      </c>
      <c r="C699" s="44"/>
      <c r="D699" s="40" t="str">
        <f>IFERROR(VLOOKUP(C699, Terméklista!I:J, 2, FALSE), "Várom a cikkszámot...")</f>
        <v>Várom a cikkszámot...</v>
      </c>
      <c r="E699" s="40"/>
      <c r="F699" s="40"/>
      <c r="G699" s="41"/>
    </row>
    <row r="700" spans="1:7" x14ac:dyDescent="0.3">
      <c r="A700" s="42"/>
      <c r="B700" s="40" t="str">
        <f>IFERROR(VLOOKUP(A700, Terméklista!I:J, 2, FALSE), "Várom a cikkszámot...")</f>
        <v>Várom a cikkszámot...</v>
      </c>
      <c r="C700" s="44"/>
      <c r="D700" s="40" t="str">
        <f>IFERROR(VLOOKUP(C700, Terméklista!I:J, 2, FALSE), "Várom a cikkszámot...")</f>
        <v>Várom a cikkszámot...</v>
      </c>
      <c r="E700" s="40"/>
      <c r="F700" s="40"/>
      <c r="G700" s="41"/>
    </row>
    <row r="701" spans="1:7" x14ac:dyDescent="0.3">
      <c r="A701" s="42"/>
      <c r="B701" s="40" t="str">
        <f>IFERROR(VLOOKUP(A701, Terméklista!I:J, 2, FALSE), "Várom a cikkszámot...")</f>
        <v>Várom a cikkszámot...</v>
      </c>
      <c r="C701" s="44"/>
      <c r="D701" s="40" t="str">
        <f>IFERROR(VLOOKUP(C701, Terméklista!I:J, 2, FALSE), "Várom a cikkszámot...")</f>
        <v>Várom a cikkszámot...</v>
      </c>
      <c r="E701" s="40"/>
      <c r="F701" s="40"/>
      <c r="G701" s="41"/>
    </row>
    <row r="702" spans="1:7" x14ac:dyDescent="0.3">
      <c r="A702" s="42"/>
      <c r="B702" s="40" t="str">
        <f>IFERROR(VLOOKUP(A702, Terméklista!I:J, 2, FALSE), "Várom a cikkszámot...")</f>
        <v>Várom a cikkszámot...</v>
      </c>
      <c r="C702" s="44"/>
      <c r="D702" s="40" t="str">
        <f>IFERROR(VLOOKUP(C702, Terméklista!I:J, 2, FALSE), "Várom a cikkszámot...")</f>
        <v>Várom a cikkszámot...</v>
      </c>
      <c r="E702" s="40"/>
      <c r="F702" s="40"/>
      <c r="G702" s="41"/>
    </row>
    <row r="703" spans="1:7" x14ac:dyDescent="0.3">
      <c r="A703" s="42"/>
      <c r="B703" s="40" t="str">
        <f>IFERROR(VLOOKUP(A703, Terméklista!I:J, 2, FALSE), "Várom a cikkszámot...")</f>
        <v>Várom a cikkszámot...</v>
      </c>
      <c r="C703" s="44"/>
      <c r="D703" s="40" t="str">
        <f>IFERROR(VLOOKUP(C703, Terméklista!I:J, 2, FALSE), "Várom a cikkszámot...")</f>
        <v>Várom a cikkszámot...</v>
      </c>
      <c r="E703" s="40"/>
      <c r="F703" s="40"/>
      <c r="G703" s="41"/>
    </row>
    <row r="704" spans="1:7" x14ac:dyDescent="0.3">
      <c r="A704" s="42"/>
      <c r="B704" s="40" t="str">
        <f>IFERROR(VLOOKUP(A704, Terméklista!I:J, 2, FALSE), "Várom a cikkszámot...")</f>
        <v>Várom a cikkszámot...</v>
      </c>
      <c r="C704" s="44"/>
      <c r="D704" s="40" t="str">
        <f>IFERROR(VLOOKUP(C704, Terméklista!I:J, 2, FALSE), "Várom a cikkszámot...")</f>
        <v>Várom a cikkszámot...</v>
      </c>
      <c r="E704" s="40"/>
      <c r="F704" s="40"/>
      <c r="G704" s="41"/>
    </row>
    <row r="705" spans="1:7" x14ac:dyDescent="0.3">
      <c r="A705" s="42"/>
      <c r="B705" s="40" t="str">
        <f>IFERROR(VLOOKUP(A705, Terméklista!I:J, 2, FALSE), "Várom a cikkszámot...")</f>
        <v>Várom a cikkszámot...</v>
      </c>
      <c r="C705" s="44"/>
      <c r="D705" s="40" t="str">
        <f>IFERROR(VLOOKUP(C705, Terméklista!I:J, 2, FALSE), "Várom a cikkszámot...")</f>
        <v>Várom a cikkszámot...</v>
      </c>
      <c r="E705" s="40"/>
      <c r="F705" s="40"/>
      <c r="G705" s="41"/>
    </row>
    <row r="706" spans="1:7" x14ac:dyDescent="0.3">
      <c r="A706" s="42"/>
      <c r="B706" s="40" t="str">
        <f>IFERROR(VLOOKUP(A706, Terméklista!I:J, 2, FALSE), "Várom a cikkszámot...")</f>
        <v>Várom a cikkszámot...</v>
      </c>
      <c r="C706" s="44"/>
      <c r="D706" s="40" t="str">
        <f>IFERROR(VLOOKUP(C706, Terméklista!I:J, 2, FALSE), "Várom a cikkszámot...")</f>
        <v>Várom a cikkszámot...</v>
      </c>
      <c r="E706" s="40"/>
      <c r="F706" s="40"/>
      <c r="G706" s="41"/>
    </row>
    <row r="707" spans="1:7" x14ac:dyDescent="0.3">
      <c r="A707" s="42"/>
      <c r="B707" s="40" t="str">
        <f>IFERROR(VLOOKUP(A707, Terméklista!I:J, 2, FALSE), "Várom a cikkszámot...")</f>
        <v>Várom a cikkszámot...</v>
      </c>
      <c r="C707" s="44"/>
      <c r="D707" s="40" t="str">
        <f>IFERROR(VLOOKUP(C707, Terméklista!I:J, 2, FALSE), "Várom a cikkszámot...")</f>
        <v>Várom a cikkszámot...</v>
      </c>
      <c r="E707" s="40"/>
      <c r="F707" s="40"/>
      <c r="G707" s="41"/>
    </row>
    <row r="708" spans="1:7" x14ac:dyDescent="0.3">
      <c r="A708" s="42"/>
      <c r="B708" s="40" t="str">
        <f>IFERROR(VLOOKUP(A708, Terméklista!I:J, 2, FALSE), "Várom a cikkszámot...")</f>
        <v>Várom a cikkszámot...</v>
      </c>
      <c r="C708" s="44"/>
      <c r="D708" s="40" t="str">
        <f>IFERROR(VLOOKUP(C708, Terméklista!I:J, 2, FALSE), "Várom a cikkszámot...")</f>
        <v>Várom a cikkszámot...</v>
      </c>
      <c r="E708" s="40"/>
      <c r="F708" s="40"/>
      <c r="G708" s="41"/>
    </row>
    <row r="709" spans="1:7" x14ac:dyDescent="0.3">
      <c r="A709" s="42"/>
      <c r="B709" s="40" t="str">
        <f>IFERROR(VLOOKUP(A709, Terméklista!I:J, 2, FALSE), "Várom a cikkszámot...")</f>
        <v>Várom a cikkszámot...</v>
      </c>
      <c r="C709" s="44"/>
      <c r="D709" s="40" t="str">
        <f>IFERROR(VLOOKUP(C709, Terméklista!I:J, 2, FALSE), "Várom a cikkszámot...")</f>
        <v>Várom a cikkszámot...</v>
      </c>
      <c r="E709" s="40"/>
      <c r="F709" s="40"/>
      <c r="G709" s="41"/>
    </row>
    <row r="710" spans="1:7" x14ac:dyDescent="0.3">
      <c r="A710" s="42"/>
      <c r="B710" s="40" t="str">
        <f>IFERROR(VLOOKUP(A710, Terméklista!I:J, 2, FALSE), "Várom a cikkszámot...")</f>
        <v>Várom a cikkszámot...</v>
      </c>
      <c r="C710" s="44"/>
      <c r="D710" s="40" t="str">
        <f>IFERROR(VLOOKUP(C710, Terméklista!I:J, 2, FALSE), "Várom a cikkszámot...")</f>
        <v>Várom a cikkszámot...</v>
      </c>
      <c r="E710" s="40"/>
      <c r="F710" s="40"/>
      <c r="G710" s="41"/>
    </row>
    <row r="711" spans="1:7" x14ac:dyDescent="0.3">
      <c r="A711" s="42"/>
      <c r="B711" s="40" t="str">
        <f>IFERROR(VLOOKUP(A711, Terméklista!I:J, 2, FALSE), "Várom a cikkszámot...")</f>
        <v>Várom a cikkszámot...</v>
      </c>
      <c r="C711" s="44"/>
      <c r="D711" s="40" t="str">
        <f>IFERROR(VLOOKUP(C711, Terméklista!I:J, 2, FALSE), "Várom a cikkszámot...")</f>
        <v>Várom a cikkszámot...</v>
      </c>
      <c r="E711" s="40"/>
      <c r="F711" s="40"/>
      <c r="G711" s="41"/>
    </row>
    <row r="712" spans="1:7" x14ac:dyDescent="0.3">
      <c r="A712" s="42"/>
      <c r="B712" s="40" t="str">
        <f>IFERROR(VLOOKUP(A712, Terméklista!I:J, 2, FALSE), "Várom a cikkszámot...")</f>
        <v>Várom a cikkszámot...</v>
      </c>
      <c r="C712" s="44"/>
      <c r="D712" s="40" t="str">
        <f>IFERROR(VLOOKUP(C712, Terméklista!I:J, 2, FALSE), "Várom a cikkszámot...")</f>
        <v>Várom a cikkszámot...</v>
      </c>
      <c r="E712" s="40"/>
      <c r="F712" s="40"/>
      <c r="G712" s="41"/>
    </row>
    <row r="713" spans="1:7" x14ac:dyDescent="0.3">
      <c r="A713" s="42"/>
      <c r="B713" s="40" t="str">
        <f>IFERROR(VLOOKUP(A713, Terméklista!I:J, 2, FALSE), "Várom a cikkszámot...")</f>
        <v>Várom a cikkszámot...</v>
      </c>
      <c r="C713" s="44"/>
      <c r="D713" s="40" t="str">
        <f>IFERROR(VLOOKUP(C713, Terméklista!I:J, 2, FALSE), "Várom a cikkszámot...")</f>
        <v>Várom a cikkszámot...</v>
      </c>
      <c r="E713" s="40"/>
      <c r="F713" s="40"/>
      <c r="G713" s="41"/>
    </row>
    <row r="714" spans="1:7" x14ac:dyDescent="0.3">
      <c r="A714" s="42"/>
      <c r="B714" s="40" t="str">
        <f>IFERROR(VLOOKUP(A714, Terméklista!I:J, 2, FALSE), "Várom a cikkszámot...")</f>
        <v>Várom a cikkszámot...</v>
      </c>
      <c r="C714" s="44"/>
      <c r="D714" s="40" t="str">
        <f>IFERROR(VLOOKUP(C714, Terméklista!I:J, 2, FALSE), "Várom a cikkszámot...")</f>
        <v>Várom a cikkszámot...</v>
      </c>
      <c r="E714" s="40"/>
      <c r="F714" s="40"/>
      <c r="G714" s="41"/>
    </row>
    <row r="715" spans="1:7" x14ac:dyDescent="0.3">
      <c r="A715" s="42"/>
      <c r="B715" s="40" t="str">
        <f>IFERROR(VLOOKUP(A715, Terméklista!I:J, 2, FALSE), "Várom a cikkszámot...")</f>
        <v>Várom a cikkszámot...</v>
      </c>
      <c r="C715" s="44"/>
      <c r="D715" s="40" t="str">
        <f>IFERROR(VLOOKUP(C715, Terméklista!I:J, 2, FALSE), "Várom a cikkszámot...")</f>
        <v>Várom a cikkszámot...</v>
      </c>
      <c r="E715" s="40"/>
      <c r="F715" s="40"/>
      <c r="G715" s="41"/>
    </row>
    <row r="716" spans="1:7" x14ac:dyDescent="0.3">
      <c r="A716" s="42"/>
      <c r="B716" s="40" t="str">
        <f>IFERROR(VLOOKUP(A716, Terméklista!I:J, 2, FALSE), "Várom a cikkszámot...")</f>
        <v>Várom a cikkszámot...</v>
      </c>
      <c r="C716" s="44"/>
      <c r="D716" s="40" t="str">
        <f>IFERROR(VLOOKUP(C716, Terméklista!I:J, 2, FALSE), "Várom a cikkszámot...")</f>
        <v>Várom a cikkszámot...</v>
      </c>
      <c r="E716" s="40"/>
      <c r="F716" s="40"/>
      <c r="G716" s="41"/>
    </row>
    <row r="717" spans="1:7" x14ac:dyDescent="0.3">
      <c r="A717" s="42"/>
      <c r="B717" s="40" t="str">
        <f>IFERROR(VLOOKUP(A717, Terméklista!I:J, 2, FALSE), "Várom a cikkszámot...")</f>
        <v>Várom a cikkszámot...</v>
      </c>
      <c r="C717" s="44"/>
      <c r="D717" s="40" t="str">
        <f>IFERROR(VLOOKUP(C717, Terméklista!I:J, 2, FALSE), "Várom a cikkszámot...")</f>
        <v>Várom a cikkszámot...</v>
      </c>
      <c r="E717" s="40"/>
      <c r="F717" s="40"/>
      <c r="G717" s="41"/>
    </row>
    <row r="718" spans="1:7" x14ac:dyDescent="0.3">
      <c r="A718" s="42"/>
      <c r="B718" s="40" t="str">
        <f>IFERROR(VLOOKUP(A718, Terméklista!I:J, 2, FALSE), "Várom a cikkszámot...")</f>
        <v>Várom a cikkszámot...</v>
      </c>
      <c r="C718" s="44"/>
      <c r="D718" s="40" t="str">
        <f>IFERROR(VLOOKUP(C718, Terméklista!I:J, 2, FALSE), "Várom a cikkszámot...")</f>
        <v>Várom a cikkszámot...</v>
      </c>
      <c r="E718" s="40"/>
      <c r="F718" s="40"/>
      <c r="G718" s="41"/>
    </row>
    <row r="719" spans="1:7" x14ac:dyDescent="0.3">
      <c r="A719" s="42"/>
      <c r="B719" s="40" t="str">
        <f>IFERROR(VLOOKUP(A719, Terméklista!I:J, 2, FALSE), "Várom a cikkszámot...")</f>
        <v>Várom a cikkszámot...</v>
      </c>
      <c r="C719" s="44"/>
      <c r="D719" s="40" t="str">
        <f>IFERROR(VLOOKUP(C719, Terméklista!I:J, 2, FALSE), "Várom a cikkszámot...")</f>
        <v>Várom a cikkszámot...</v>
      </c>
      <c r="E719" s="40"/>
      <c r="F719" s="40"/>
      <c r="G719" s="41"/>
    </row>
    <row r="720" spans="1:7" x14ac:dyDescent="0.3">
      <c r="A720" s="42"/>
      <c r="B720" s="40" t="str">
        <f>IFERROR(VLOOKUP(A720, Terméklista!I:J, 2, FALSE), "Várom a cikkszámot...")</f>
        <v>Várom a cikkszámot...</v>
      </c>
      <c r="C720" s="44"/>
      <c r="D720" s="40" t="str">
        <f>IFERROR(VLOOKUP(C720, Terméklista!I:J, 2, FALSE), "Várom a cikkszámot...")</f>
        <v>Várom a cikkszámot...</v>
      </c>
      <c r="E720" s="40"/>
      <c r="F720" s="40"/>
      <c r="G720" s="41"/>
    </row>
    <row r="721" spans="1:7" x14ac:dyDescent="0.3">
      <c r="A721" s="42"/>
      <c r="B721" s="40" t="str">
        <f>IFERROR(VLOOKUP(A721, Terméklista!I:J, 2, FALSE), "Várom a cikkszámot...")</f>
        <v>Várom a cikkszámot...</v>
      </c>
      <c r="C721" s="44"/>
      <c r="D721" s="40" t="str">
        <f>IFERROR(VLOOKUP(C721, Terméklista!I:J, 2, FALSE), "Várom a cikkszámot...")</f>
        <v>Várom a cikkszámot...</v>
      </c>
      <c r="E721" s="40"/>
      <c r="F721" s="40"/>
      <c r="G721" s="41"/>
    </row>
    <row r="722" spans="1:7" x14ac:dyDescent="0.3">
      <c r="A722" s="42"/>
      <c r="B722" s="40" t="str">
        <f>IFERROR(VLOOKUP(A722, Terméklista!I:J, 2, FALSE), "Várom a cikkszámot...")</f>
        <v>Várom a cikkszámot...</v>
      </c>
      <c r="C722" s="44"/>
      <c r="D722" s="40" t="str">
        <f>IFERROR(VLOOKUP(C722, Terméklista!I:J, 2, FALSE), "Várom a cikkszámot...")</f>
        <v>Várom a cikkszámot...</v>
      </c>
      <c r="E722" s="40"/>
      <c r="F722" s="40"/>
      <c r="G722" s="41"/>
    </row>
    <row r="723" spans="1:7" x14ac:dyDescent="0.3">
      <c r="A723" s="42"/>
      <c r="B723" s="40" t="str">
        <f>IFERROR(VLOOKUP(A723, Terméklista!I:J, 2, FALSE), "Várom a cikkszámot...")</f>
        <v>Várom a cikkszámot...</v>
      </c>
      <c r="C723" s="44"/>
      <c r="D723" s="40" t="str">
        <f>IFERROR(VLOOKUP(C723, Terméklista!I:J, 2, FALSE), "Várom a cikkszámot...")</f>
        <v>Várom a cikkszámot...</v>
      </c>
      <c r="E723" s="40"/>
      <c r="F723" s="40"/>
      <c r="G723" s="41"/>
    </row>
    <row r="724" spans="1:7" x14ac:dyDescent="0.3">
      <c r="A724" s="42"/>
      <c r="B724" s="40" t="str">
        <f>IFERROR(VLOOKUP(A724, Terméklista!I:J, 2, FALSE), "Várom a cikkszámot...")</f>
        <v>Várom a cikkszámot...</v>
      </c>
      <c r="C724" s="44"/>
      <c r="D724" s="40" t="str">
        <f>IFERROR(VLOOKUP(C724, Terméklista!I:J, 2, FALSE), "Várom a cikkszámot...")</f>
        <v>Várom a cikkszámot...</v>
      </c>
      <c r="E724" s="40"/>
      <c r="F724" s="40"/>
      <c r="G724" s="41"/>
    </row>
    <row r="725" spans="1:7" x14ac:dyDescent="0.3">
      <c r="A725" s="42"/>
      <c r="B725" s="40" t="str">
        <f>IFERROR(VLOOKUP(A725, Terméklista!I:J, 2, FALSE), "Várom a cikkszámot...")</f>
        <v>Várom a cikkszámot...</v>
      </c>
      <c r="C725" s="44"/>
      <c r="D725" s="40" t="str">
        <f>IFERROR(VLOOKUP(C725, Terméklista!I:J, 2, FALSE), "Várom a cikkszámot...")</f>
        <v>Várom a cikkszámot...</v>
      </c>
      <c r="E725" s="40"/>
      <c r="F725" s="40"/>
      <c r="G725" s="41"/>
    </row>
    <row r="726" spans="1:7" x14ac:dyDescent="0.3">
      <c r="A726" s="42"/>
      <c r="B726" s="40" t="str">
        <f>IFERROR(VLOOKUP(A726, Terméklista!I:J, 2, FALSE), "Várom a cikkszámot...")</f>
        <v>Várom a cikkszámot...</v>
      </c>
      <c r="C726" s="44"/>
      <c r="D726" s="40" t="str">
        <f>IFERROR(VLOOKUP(C726, Terméklista!I:J, 2, FALSE), "Várom a cikkszámot...")</f>
        <v>Várom a cikkszámot...</v>
      </c>
      <c r="E726" s="40"/>
      <c r="F726" s="40"/>
      <c r="G726" s="41"/>
    </row>
    <row r="727" spans="1:7" x14ac:dyDescent="0.3">
      <c r="A727" s="42"/>
      <c r="B727" s="40" t="str">
        <f>IFERROR(VLOOKUP(A727, Terméklista!I:J, 2, FALSE), "Várom a cikkszámot...")</f>
        <v>Várom a cikkszámot...</v>
      </c>
      <c r="C727" s="44"/>
      <c r="D727" s="40" t="str">
        <f>IFERROR(VLOOKUP(C727, Terméklista!I:J, 2, FALSE), "Várom a cikkszámot...")</f>
        <v>Várom a cikkszámot...</v>
      </c>
      <c r="E727" s="40"/>
      <c r="F727" s="40"/>
      <c r="G727" s="41"/>
    </row>
    <row r="728" spans="1:7" x14ac:dyDescent="0.3">
      <c r="A728" s="42"/>
      <c r="B728" s="40" t="str">
        <f>IFERROR(VLOOKUP(A728, Terméklista!I:J, 2, FALSE), "Várom a cikkszámot...")</f>
        <v>Várom a cikkszámot...</v>
      </c>
      <c r="C728" s="44"/>
      <c r="D728" s="40" t="str">
        <f>IFERROR(VLOOKUP(C728, Terméklista!I:J, 2, FALSE), "Várom a cikkszámot...")</f>
        <v>Várom a cikkszámot...</v>
      </c>
      <c r="E728" s="40"/>
      <c r="F728" s="40"/>
      <c r="G728" s="41"/>
    </row>
    <row r="729" spans="1:7" x14ac:dyDescent="0.3">
      <c r="A729" s="42"/>
      <c r="B729" s="40" t="str">
        <f>IFERROR(VLOOKUP(A729, Terméklista!I:J, 2, FALSE), "Várom a cikkszámot...")</f>
        <v>Várom a cikkszámot...</v>
      </c>
      <c r="C729" s="44"/>
      <c r="D729" s="40" t="str">
        <f>IFERROR(VLOOKUP(C729, Terméklista!I:J, 2, FALSE), "Várom a cikkszámot...")</f>
        <v>Várom a cikkszámot...</v>
      </c>
      <c r="E729" s="40"/>
      <c r="F729" s="40"/>
      <c r="G729" s="41"/>
    </row>
    <row r="730" spans="1:7" x14ac:dyDescent="0.3">
      <c r="A730" s="42"/>
      <c r="B730" s="40" t="str">
        <f>IFERROR(VLOOKUP(A730, Terméklista!I:J, 2, FALSE), "Várom a cikkszámot...")</f>
        <v>Várom a cikkszámot...</v>
      </c>
      <c r="C730" s="44"/>
      <c r="D730" s="40" t="str">
        <f>IFERROR(VLOOKUP(C730, Terméklista!I:J, 2, FALSE), "Várom a cikkszámot...")</f>
        <v>Várom a cikkszámot...</v>
      </c>
      <c r="E730" s="40"/>
      <c r="F730" s="40"/>
      <c r="G730" s="41"/>
    </row>
    <row r="731" spans="1:7" x14ac:dyDescent="0.3">
      <c r="A731" s="42"/>
      <c r="B731" s="40" t="str">
        <f>IFERROR(VLOOKUP(A731, Terméklista!I:J, 2, FALSE), "Várom a cikkszámot...")</f>
        <v>Várom a cikkszámot...</v>
      </c>
      <c r="C731" s="44"/>
      <c r="D731" s="40" t="str">
        <f>IFERROR(VLOOKUP(C731, Terméklista!I:J, 2, FALSE), "Várom a cikkszámot...")</f>
        <v>Várom a cikkszámot...</v>
      </c>
      <c r="E731" s="40"/>
      <c r="F731" s="40"/>
      <c r="G731" s="41"/>
    </row>
    <row r="732" spans="1:7" x14ac:dyDescent="0.3">
      <c r="A732" s="42"/>
      <c r="B732" s="40" t="str">
        <f>IFERROR(VLOOKUP(A732, Terméklista!I:J, 2, FALSE), "Várom a cikkszámot...")</f>
        <v>Várom a cikkszámot...</v>
      </c>
      <c r="C732" s="44"/>
      <c r="D732" s="40" t="str">
        <f>IFERROR(VLOOKUP(C732, Terméklista!I:J, 2, FALSE), "Várom a cikkszámot...")</f>
        <v>Várom a cikkszámot...</v>
      </c>
      <c r="E732" s="40"/>
      <c r="F732" s="40"/>
      <c r="G732" s="41"/>
    </row>
    <row r="733" spans="1:7" x14ac:dyDescent="0.3">
      <c r="A733" s="42"/>
      <c r="B733" s="40" t="str">
        <f>IFERROR(VLOOKUP(A733, Terméklista!I:J, 2, FALSE), "Várom a cikkszámot...")</f>
        <v>Várom a cikkszámot...</v>
      </c>
      <c r="C733" s="44"/>
      <c r="D733" s="40" t="str">
        <f>IFERROR(VLOOKUP(C733, Terméklista!I:J, 2, FALSE), "Várom a cikkszámot...")</f>
        <v>Várom a cikkszámot...</v>
      </c>
      <c r="E733" s="40"/>
      <c r="F733" s="40"/>
      <c r="G733" s="41"/>
    </row>
    <row r="734" spans="1:7" x14ac:dyDescent="0.3">
      <c r="A734" s="42"/>
      <c r="B734" s="40" t="str">
        <f>IFERROR(VLOOKUP(A734, Terméklista!I:J, 2, FALSE), "Várom a cikkszámot...")</f>
        <v>Várom a cikkszámot...</v>
      </c>
      <c r="C734" s="44"/>
      <c r="D734" s="40" t="str">
        <f>IFERROR(VLOOKUP(C734, Terméklista!I:J, 2, FALSE), "Várom a cikkszámot...")</f>
        <v>Várom a cikkszámot...</v>
      </c>
      <c r="E734" s="40"/>
      <c r="F734" s="40"/>
      <c r="G734" s="41"/>
    </row>
    <row r="735" spans="1:7" x14ac:dyDescent="0.3">
      <c r="A735" s="42"/>
      <c r="B735" s="40" t="str">
        <f>IFERROR(VLOOKUP(A735, Terméklista!I:J, 2, FALSE), "Várom a cikkszámot...")</f>
        <v>Várom a cikkszámot...</v>
      </c>
      <c r="C735" s="44"/>
      <c r="D735" s="40" t="str">
        <f>IFERROR(VLOOKUP(C735, Terméklista!I:J, 2, FALSE), "Várom a cikkszámot...")</f>
        <v>Várom a cikkszámot...</v>
      </c>
      <c r="E735" s="40"/>
      <c r="F735" s="40"/>
      <c r="G735" s="41"/>
    </row>
    <row r="736" spans="1:7" x14ac:dyDescent="0.3">
      <c r="A736" s="42"/>
      <c r="B736" s="40" t="str">
        <f>IFERROR(VLOOKUP(A736, Terméklista!I:J, 2, FALSE), "Várom a cikkszámot...")</f>
        <v>Várom a cikkszámot...</v>
      </c>
      <c r="C736" s="44"/>
      <c r="D736" s="40" t="str">
        <f>IFERROR(VLOOKUP(C736, Terméklista!I:J, 2, FALSE), "Várom a cikkszámot...")</f>
        <v>Várom a cikkszámot...</v>
      </c>
      <c r="E736" s="40"/>
      <c r="F736" s="40"/>
      <c r="G736" s="41"/>
    </row>
    <row r="737" spans="1:7" x14ac:dyDescent="0.3">
      <c r="A737" s="42"/>
      <c r="B737" s="40" t="str">
        <f>IFERROR(VLOOKUP(A737, Terméklista!I:J, 2, FALSE), "Várom a cikkszámot...")</f>
        <v>Várom a cikkszámot...</v>
      </c>
      <c r="C737" s="44"/>
      <c r="D737" s="40" t="str">
        <f>IFERROR(VLOOKUP(C737, Terméklista!I:J, 2, FALSE), "Várom a cikkszámot...")</f>
        <v>Várom a cikkszámot...</v>
      </c>
      <c r="E737" s="40"/>
      <c r="F737" s="40"/>
      <c r="G737" s="41"/>
    </row>
    <row r="738" spans="1:7" x14ac:dyDescent="0.3">
      <c r="A738" s="42"/>
      <c r="B738" s="40" t="str">
        <f>IFERROR(VLOOKUP(A738, Terméklista!I:J, 2, FALSE), "Várom a cikkszámot...")</f>
        <v>Várom a cikkszámot...</v>
      </c>
      <c r="C738" s="44"/>
      <c r="D738" s="40" t="str">
        <f>IFERROR(VLOOKUP(C738, Terméklista!I:J, 2, FALSE), "Várom a cikkszámot...")</f>
        <v>Várom a cikkszámot...</v>
      </c>
      <c r="E738" s="40"/>
      <c r="F738" s="40"/>
      <c r="G738" s="41"/>
    </row>
    <row r="739" spans="1:7" x14ac:dyDescent="0.3">
      <c r="A739" s="42"/>
      <c r="B739" s="40" t="str">
        <f>IFERROR(VLOOKUP(A739, Terméklista!I:J, 2, FALSE), "Várom a cikkszámot...")</f>
        <v>Várom a cikkszámot...</v>
      </c>
      <c r="C739" s="44"/>
      <c r="D739" s="40" t="str">
        <f>IFERROR(VLOOKUP(C739, Terméklista!I:J, 2, FALSE), "Várom a cikkszámot...")</f>
        <v>Várom a cikkszámot...</v>
      </c>
      <c r="E739" s="40"/>
      <c r="F739" s="40"/>
      <c r="G739" s="41"/>
    </row>
    <row r="740" spans="1:7" x14ac:dyDescent="0.3">
      <c r="A740" s="42"/>
      <c r="B740" s="40" t="str">
        <f>IFERROR(VLOOKUP(A740, Terméklista!I:J, 2, FALSE), "Várom a cikkszámot...")</f>
        <v>Várom a cikkszámot...</v>
      </c>
      <c r="C740" s="44"/>
      <c r="D740" s="40" t="str">
        <f>IFERROR(VLOOKUP(C740, Terméklista!I:J, 2, FALSE), "Várom a cikkszámot...")</f>
        <v>Várom a cikkszámot...</v>
      </c>
      <c r="E740" s="40"/>
      <c r="F740" s="40"/>
      <c r="G740" s="41"/>
    </row>
    <row r="741" spans="1:7" x14ac:dyDescent="0.3">
      <c r="A741" s="42"/>
      <c r="B741" s="40" t="str">
        <f>IFERROR(VLOOKUP(A741, Terméklista!I:J, 2, FALSE), "Várom a cikkszámot...")</f>
        <v>Várom a cikkszámot...</v>
      </c>
      <c r="C741" s="44"/>
      <c r="D741" s="40" t="str">
        <f>IFERROR(VLOOKUP(C741, Terméklista!I:J, 2, FALSE), "Várom a cikkszámot...")</f>
        <v>Várom a cikkszámot...</v>
      </c>
      <c r="E741" s="40"/>
      <c r="F741" s="40"/>
      <c r="G741" s="41"/>
    </row>
    <row r="742" spans="1:7" x14ac:dyDescent="0.3">
      <c r="A742" s="42"/>
      <c r="B742" s="40" t="str">
        <f>IFERROR(VLOOKUP(A742, Terméklista!I:J, 2, FALSE), "Várom a cikkszámot...")</f>
        <v>Várom a cikkszámot...</v>
      </c>
      <c r="C742" s="44"/>
      <c r="D742" s="40" t="str">
        <f>IFERROR(VLOOKUP(C742, Terméklista!I:J, 2, FALSE), "Várom a cikkszámot...")</f>
        <v>Várom a cikkszámot...</v>
      </c>
      <c r="E742" s="40"/>
      <c r="F742" s="40"/>
      <c r="G742" s="41"/>
    </row>
    <row r="743" spans="1:7" x14ac:dyDescent="0.3">
      <c r="A743" s="42"/>
      <c r="B743" s="40" t="str">
        <f>IFERROR(VLOOKUP(A743, Terméklista!I:J, 2, FALSE), "Várom a cikkszámot...")</f>
        <v>Várom a cikkszámot...</v>
      </c>
      <c r="C743" s="44"/>
      <c r="D743" s="40" t="str">
        <f>IFERROR(VLOOKUP(C743, Terméklista!I:J, 2, FALSE), "Várom a cikkszámot...")</f>
        <v>Várom a cikkszámot...</v>
      </c>
      <c r="E743" s="40"/>
      <c r="F743" s="40"/>
      <c r="G743" s="41"/>
    </row>
    <row r="744" spans="1:7" x14ac:dyDescent="0.3">
      <c r="A744" s="42"/>
      <c r="B744" s="40" t="str">
        <f>IFERROR(VLOOKUP(A744, Terméklista!I:J, 2, FALSE), "Várom a cikkszámot...")</f>
        <v>Várom a cikkszámot...</v>
      </c>
      <c r="C744" s="44"/>
      <c r="D744" s="40" t="str">
        <f>IFERROR(VLOOKUP(C744, Terméklista!I:J, 2, FALSE), "Várom a cikkszámot...")</f>
        <v>Várom a cikkszámot...</v>
      </c>
      <c r="E744" s="40"/>
      <c r="F744" s="40"/>
      <c r="G744" s="41"/>
    </row>
    <row r="745" spans="1:7" x14ac:dyDescent="0.3">
      <c r="A745" s="42"/>
      <c r="B745" s="40" t="str">
        <f>IFERROR(VLOOKUP(A745, Terméklista!I:J, 2, FALSE), "Várom a cikkszámot...")</f>
        <v>Várom a cikkszámot...</v>
      </c>
      <c r="C745" s="44"/>
      <c r="D745" s="40" t="str">
        <f>IFERROR(VLOOKUP(C745, Terméklista!I:J, 2, FALSE), "Várom a cikkszámot...")</f>
        <v>Várom a cikkszámot...</v>
      </c>
      <c r="E745" s="40"/>
      <c r="F745" s="40"/>
      <c r="G745" s="41"/>
    </row>
    <row r="746" spans="1:7" x14ac:dyDescent="0.3">
      <c r="A746" s="42"/>
      <c r="B746" s="40" t="str">
        <f>IFERROR(VLOOKUP(A746, Terméklista!I:J, 2, FALSE), "Várom a cikkszámot...")</f>
        <v>Várom a cikkszámot...</v>
      </c>
      <c r="C746" s="44"/>
      <c r="D746" s="40" t="str">
        <f>IFERROR(VLOOKUP(C746, Terméklista!I:J, 2, FALSE), "Várom a cikkszámot...")</f>
        <v>Várom a cikkszámot...</v>
      </c>
      <c r="E746" s="40"/>
      <c r="F746" s="40"/>
      <c r="G746" s="41"/>
    </row>
    <row r="747" spans="1:7" x14ac:dyDescent="0.3">
      <c r="A747" s="42"/>
      <c r="B747" s="40" t="str">
        <f>IFERROR(VLOOKUP(A747, Terméklista!I:J, 2, FALSE), "Várom a cikkszámot...")</f>
        <v>Várom a cikkszámot...</v>
      </c>
      <c r="C747" s="44"/>
      <c r="D747" s="40" t="str">
        <f>IFERROR(VLOOKUP(C747, Terméklista!I:J, 2, FALSE), "Várom a cikkszámot...")</f>
        <v>Várom a cikkszámot...</v>
      </c>
      <c r="E747" s="40"/>
      <c r="F747" s="40"/>
      <c r="G747" s="41"/>
    </row>
    <row r="748" spans="1:7" x14ac:dyDescent="0.3">
      <c r="A748" s="42"/>
      <c r="B748" s="40" t="str">
        <f>IFERROR(VLOOKUP(A748, Terméklista!I:J, 2, FALSE), "Várom a cikkszámot...")</f>
        <v>Várom a cikkszámot...</v>
      </c>
      <c r="C748" s="44"/>
      <c r="D748" s="40" t="str">
        <f>IFERROR(VLOOKUP(C748, Terméklista!I:J, 2, FALSE), "Várom a cikkszámot...")</f>
        <v>Várom a cikkszámot...</v>
      </c>
      <c r="E748" s="40"/>
      <c r="F748" s="40"/>
      <c r="G748" s="41"/>
    </row>
    <row r="749" spans="1:7" x14ac:dyDescent="0.3">
      <c r="A749" s="42"/>
      <c r="B749" s="40" t="str">
        <f>IFERROR(VLOOKUP(A749, Terméklista!I:J, 2, FALSE), "Várom a cikkszámot...")</f>
        <v>Várom a cikkszámot...</v>
      </c>
      <c r="C749" s="44"/>
      <c r="D749" s="40" t="str">
        <f>IFERROR(VLOOKUP(C749, Terméklista!I:J, 2, FALSE), "Várom a cikkszámot...")</f>
        <v>Várom a cikkszámot...</v>
      </c>
      <c r="E749" s="40"/>
      <c r="F749" s="40"/>
      <c r="G749" s="41"/>
    </row>
    <row r="750" spans="1:7" x14ac:dyDescent="0.3">
      <c r="A750" s="42"/>
      <c r="B750" s="40" t="str">
        <f>IFERROR(VLOOKUP(A750, Terméklista!I:J, 2, FALSE), "Várom a cikkszámot...")</f>
        <v>Várom a cikkszámot...</v>
      </c>
      <c r="C750" s="44"/>
      <c r="D750" s="40" t="str">
        <f>IFERROR(VLOOKUP(C750, Terméklista!I:J, 2, FALSE), "Várom a cikkszámot...")</f>
        <v>Várom a cikkszámot...</v>
      </c>
      <c r="E750" s="40"/>
      <c r="F750" s="40"/>
      <c r="G750" s="41"/>
    </row>
    <row r="751" spans="1:7" x14ac:dyDescent="0.3">
      <c r="A751" s="42"/>
      <c r="B751" s="40" t="str">
        <f>IFERROR(VLOOKUP(A751, Terméklista!I:J, 2, FALSE), "Várom a cikkszámot...")</f>
        <v>Várom a cikkszámot...</v>
      </c>
      <c r="C751" s="44"/>
      <c r="D751" s="40" t="str">
        <f>IFERROR(VLOOKUP(C751, Terméklista!I:J, 2, FALSE), "Várom a cikkszámot...")</f>
        <v>Várom a cikkszámot...</v>
      </c>
      <c r="E751" s="40"/>
      <c r="F751" s="40"/>
      <c r="G751" s="41"/>
    </row>
    <row r="752" spans="1:7" x14ac:dyDescent="0.3">
      <c r="A752" s="42"/>
      <c r="B752" s="40" t="str">
        <f>IFERROR(VLOOKUP(A752, Terméklista!I:J, 2, FALSE), "Várom a cikkszámot...")</f>
        <v>Várom a cikkszámot...</v>
      </c>
      <c r="C752" s="44"/>
      <c r="D752" s="40" t="str">
        <f>IFERROR(VLOOKUP(C752, Terméklista!I:J, 2, FALSE), "Várom a cikkszámot...")</f>
        <v>Várom a cikkszámot...</v>
      </c>
      <c r="E752" s="40"/>
      <c r="F752" s="40"/>
      <c r="G752" s="41"/>
    </row>
    <row r="753" spans="1:7" x14ac:dyDescent="0.3">
      <c r="A753" s="42"/>
      <c r="B753" s="40" t="str">
        <f>IFERROR(VLOOKUP(A753, Terméklista!I:J, 2, FALSE), "Várom a cikkszámot...")</f>
        <v>Várom a cikkszámot...</v>
      </c>
      <c r="C753" s="44"/>
      <c r="D753" s="40" t="str">
        <f>IFERROR(VLOOKUP(C753, Terméklista!I:J, 2, FALSE), "Várom a cikkszámot...")</f>
        <v>Várom a cikkszámot...</v>
      </c>
      <c r="E753" s="40"/>
      <c r="F753" s="40"/>
      <c r="G753" s="41"/>
    </row>
    <row r="754" spans="1:7" x14ac:dyDescent="0.3">
      <c r="A754" s="42"/>
      <c r="B754" s="40" t="str">
        <f>IFERROR(VLOOKUP(A754, Terméklista!I:J, 2, FALSE), "Várom a cikkszámot...")</f>
        <v>Várom a cikkszámot...</v>
      </c>
      <c r="C754" s="44"/>
      <c r="D754" s="40" t="str">
        <f>IFERROR(VLOOKUP(C754, Terméklista!I:J, 2, FALSE), "Várom a cikkszámot...")</f>
        <v>Várom a cikkszámot...</v>
      </c>
      <c r="E754" s="40"/>
      <c r="F754" s="40"/>
      <c r="G754" s="41"/>
    </row>
    <row r="755" spans="1:7" x14ac:dyDescent="0.3">
      <c r="A755" s="42"/>
      <c r="B755" s="40" t="str">
        <f>IFERROR(VLOOKUP(A755, Terméklista!I:J, 2, FALSE), "Várom a cikkszámot...")</f>
        <v>Várom a cikkszámot...</v>
      </c>
      <c r="C755" s="44"/>
      <c r="D755" s="40" t="str">
        <f>IFERROR(VLOOKUP(C755, Terméklista!I:J, 2, FALSE), "Várom a cikkszámot...")</f>
        <v>Várom a cikkszámot...</v>
      </c>
      <c r="E755" s="40"/>
      <c r="F755" s="40"/>
      <c r="G755" s="41"/>
    </row>
    <row r="756" spans="1:7" x14ac:dyDescent="0.3">
      <c r="A756" s="42"/>
      <c r="B756" s="40" t="str">
        <f>IFERROR(VLOOKUP(A756, Terméklista!I:J, 2, FALSE), "Várom a cikkszámot...")</f>
        <v>Várom a cikkszámot...</v>
      </c>
      <c r="C756" s="44"/>
      <c r="D756" s="40" t="str">
        <f>IFERROR(VLOOKUP(C756, Terméklista!I:J, 2, FALSE), "Várom a cikkszámot...")</f>
        <v>Várom a cikkszámot...</v>
      </c>
      <c r="E756" s="40"/>
      <c r="F756" s="40"/>
      <c r="G756" s="41"/>
    </row>
    <row r="757" spans="1:7" x14ac:dyDescent="0.3">
      <c r="A757" s="42"/>
      <c r="B757" s="40" t="str">
        <f>IFERROR(VLOOKUP(A757, Terméklista!I:J, 2, FALSE), "Várom a cikkszámot...")</f>
        <v>Várom a cikkszámot...</v>
      </c>
      <c r="C757" s="44"/>
      <c r="D757" s="40" t="str">
        <f>IFERROR(VLOOKUP(C757, Terméklista!I:J, 2, FALSE), "Várom a cikkszámot...")</f>
        <v>Várom a cikkszámot...</v>
      </c>
      <c r="E757" s="40"/>
      <c r="F757" s="40"/>
      <c r="G757" s="41"/>
    </row>
    <row r="758" spans="1:7" x14ac:dyDescent="0.3">
      <c r="A758" s="42"/>
      <c r="B758" s="40" t="str">
        <f>IFERROR(VLOOKUP(A758, Terméklista!I:J, 2, FALSE), "Várom a cikkszámot...")</f>
        <v>Várom a cikkszámot...</v>
      </c>
      <c r="C758" s="44"/>
      <c r="D758" s="40" t="str">
        <f>IFERROR(VLOOKUP(C758, Terméklista!I:J, 2, FALSE), "Várom a cikkszámot...")</f>
        <v>Várom a cikkszámot...</v>
      </c>
      <c r="E758" s="40"/>
      <c r="F758" s="40"/>
      <c r="G758" s="41"/>
    </row>
    <row r="759" spans="1:7" x14ac:dyDescent="0.3">
      <c r="A759" s="42"/>
      <c r="B759" s="40" t="str">
        <f>IFERROR(VLOOKUP(A759, Terméklista!I:J, 2, FALSE), "Várom a cikkszámot...")</f>
        <v>Várom a cikkszámot...</v>
      </c>
      <c r="C759" s="44"/>
      <c r="D759" s="40" t="str">
        <f>IFERROR(VLOOKUP(C759, Terméklista!I:J, 2, FALSE), "Várom a cikkszámot...")</f>
        <v>Várom a cikkszámot...</v>
      </c>
      <c r="E759" s="40"/>
      <c r="F759" s="40"/>
      <c r="G759" s="41"/>
    </row>
    <row r="760" spans="1:7" x14ac:dyDescent="0.3">
      <c r="A760" s="42"/>
      <c r="B760" s="40" t="str">
        <f>IFERROR(VLOOKUP(A760, Terméklista!I:J, 2, FALSE), "Várom a cikkszámot...")</f>
        <v>Várom a cikkszámot...</v>
      </c>
      <c r="C760" s="44"/>
      <c r="D760" s="40" t="str">
        <f>IFERROR(VLOOKUP(C760, Terméklista!I:J, 2, FALSE), "Várom a cikkszámot...")</f>
        <v>Várom a cikkszámot...</v>
      </c>
      <c r="E760" s="40"/>
      <c r="F760" s="40"/>
      <c r="G760" s="41"/>
    </row>
    <row r="761" spans="1:7" x14ac:dyDescent="0.3">
      <c r="A761" s="42"/>
      <c r="B761" s="40" t="str">
        <f>IFERROR(VLOOKUP(A761, Terméklista!I:J, 2, FALSE), "Várom a cikkszámot...")</f>
        <v>Várom a cikkszámot...</v>
      </c>
      <c r="C761" s="44"/>
      <c r="D761" s="40" t="str">
        <f>IFERROR(VLOOKUP(C761, Terméklista!I:J, 2, FALSE), "Várom a cikkszámot...")</f>
        <v>Várom a cikkszámot...</v>
      </c>
      <c r="E761" s="40"/>
      <c r="F761" s="40"/>
      <c r="G761" s="41"/>
    </row>
    <row r="762" spans="1:7" x14ac:dyDescent="0.3">
      <c r="A762" s="42"/>
      <c r="B762" s="40" t="str">
        <f>IFERROR(VLOOKUP(A762, Terméklista!I:J, 2, FALSE), "Várom a cikkszámot...")</f>
        <v>Várom a cikkszámot...</v>
      </c>
      <c r="C762" s="44"/>
      <c r="D762" s="40" t="str">
        <f>IFERROR(VLOOKUP(C762, Terméklista!I:J, 2, FALSE), "Várom a cikkszámot...")</f>
        <v>Várom a cikkszámot...</v>
      </c>
      <c r="E762" s="40"/>
      <c r="F762" s="40"/>
      <c r="G762" s="41"/>
    </row>
    <row r="763" spans="1:7" x14ac:dyDescent="0.3">
      <c r="A763" s="42"/>
      <c r="B763" s="40" t="str">
        <f>IFERROR(VLOOKUP(A763, Terméklista!I:J, 2, FALSE), "Várom a cikkszámot...")</f>
        <v>Várom a cikkszámot...</v>
      </c>
      <c r="C763" s="44"/>
      <c r="D763" s="40" t="str">
        <f>IFERROR(VLOOKUP(C763, Terméklista!I:J, 2, FALSE), "Várom a cikkszámot...")</f>
        <v>Várom a cikkszámot...</v>
      </c>
      <c r="E763" s="40"/>
      <c r="F763" s="40"/>
      <c r="G763" s="41"/>
    </row>
    <row r="764" spans="1:7" x14ac:dyDescent="0.3">
      <c r="A764" s="42"/>
      <c r="B764" s="40" t="str">
        <f>IFERROR(VLOOKUP(A764, Terméklista!I:J, 2, FALSE), "Várom a cikkszámot...")</f>
        <v>Várom a cikkszámot...</v>
      </c>
      <c r="C764" s="44"/>
      <c r="D764" s="40" t="str">
        <f>IFERROR(VLOOKUP(C764, Terméklista!I:J, 2, FALSE), "Várom a cikkszámot...")</f>
        <v>Várom a cikkszámot...</v>
      </c>
      <c r="E764" s="40"/>
      <c r="F764" s="40"/>
      <c r="G764" s="41"/>
    </row>
    <row r="765" spans="1:7" x14ac:dyDescent="0.3">
      <c r="A765" s="42"/>
      <c r="B765" s="40" t="str">
        <f>IFERROR(VLOOKUP(A765, Terméklista!I:J, 2, FALSE), "Várom a cikkszámot...")</f>
        <v>Várom a cikkszámot...</v>
      </c>
      <c r="C765" s="44"/>
      <c r="D765" s="40" t="str">
        <f>IFERROR(VLOOKUP(C765, Terméklista!I:J, 2, FALSE), "Várom a cikkszámot...")</f>
        <v>Várom a cikkszámot...</v>
      </c>
      <c r="E765" s="40"/>
      <c r="F765" s="40"/>
      <c r="G765" s="41"/>
    </row>
    <row r="766" spans="1:7" x14ac:dyDescent="0.3">
      <c r="A766" s="42"/>
      <c r="B766" s="40" t="str">
        <f>IFERROR(VLOOKUP(A766, Terméklista!I:J, 2, FALSE), "Várom a cikkszámot...")</f>
        <v>Várom a cikkszámot...</v>
      </c>
      <c r="C766" s="44"/>
      <c r="D766" s="40" t="str">
        <f>IFERROR(VLOOKUP(C766, Terméklista!I:J, 2, FALSE), "Várom a cikkszámot...")</f>
        <v>Várom a cikkszámot...</v>
      </c>
      <c r="E766" s="40"/>
      <c r="F766" s="40"/>
      <c r="G766" s="41"/>
    </row>
    <row r="767" spans="1:7" x14ac:dyDescent="0.3">
      <c r="A767" s="42"/>
      <c r="B767" s="40" t="str">
        <f>IFERROR(VLOOKUP(A767, Terméklista!I:J, 2, FALSE), "Várom a cikkszámot...")</f>
        <v>Várom a cikkszámot...</v>
      </c>
      <c r="C767" s="44"/>
      <c r="D767" s="40" t="str">
        <f>IFERROR(VLOOKUP(C767, Terméklista!I:J, 2, FALSE), "Várom a cikkszámot...")</f>
        <v>Várom a cikkszámot...</v>
      </c>
      <c r="E767" s="40"/>
      <c r="F767" s="40"/>
      <c r="G767" s="41"/>
    </row>
    <row r="768" spans="1:7" x14ac:dyDescent="0.3">
      <c r="A768" s="42"/>
      <c r="B768" s="40" t="str">
        <f>IFERROR(VLOOKUP(A768, Terméklista!I:J, 2, FALSE), "Várom a cikkszámot...")</f>
        <v>Várom a cikkszámot...</v>
      </c>
      <c r="C768" s="44"/>
      <c r="D768" s="40" t="str">
        <f>IFERROR(VLOOKUP(C768, Terméklista!I:J, 2, FALSE), "Várom a cikkszámot...")</f>
        <v>Várom a cikkszámot...</v>
      </c>
      <c r="E768" s="40"/>
      <c r="F768" s="40"/>
      <c r="G768" s="41"/>
    </row>
    <row r="769" spans="1:7" x14ac:dyDescent="0.3">
      <c r="A769" s="42"/>
      <c r="B769" s="40" t="str">
        <f>IFERROR(VLOOKUP(A769, Terméklista!I:J, 2, FALSE), "Várom a cikkszámot...")</f>
        <v>Várom a cikkszámot...</v>
      </c>
      <c r="C769" s="44"/>
      <c r="D769" s="40" t="str">
        <f>IFERROR(VLOOKUP(C769, Terméklista!I:J, 2, FALSE), "Várom a cikkszámot...")</f>
        <v>Várom a cikkszámot...</v>
      </c>
      <c r="E769" s="40"/>
      <c r="F769" s="40"/>
      <c r="G769" s="41"/>
    </row>
    <row r="770" spans="1:7" x14ac:dyDescent="0.3">
      <c r="A770" s="42"/>
      <c r="B770" s="40" t="str">
        <f>IFERROR(VLOOKUP(A770, Terméklista!I:J, 2, FALSE), "Várom a cikkszámot...")</f>
        <v>Várom a cikkszámot...</v>
      </c>
      <c r="C770" s="44"/>
      <c r="D770" s="40" t="str">
        <f>IFERROR(VLOOKUP(C770, Terméklista!I:J, 2, FALSE), "Várom a cikkszámot...")</f>
        <v>Várom a cikkszámot...</v>
      </c>
      <c r="E770" s="40"/>
      <c r="F770" s="40"/>
      <c r="G770" s="41"/>
    </row>
    <row r="771" spans="1:7" x14ac:dyDescent="0.3">
      <c r="A771" s="42"/>
      <c r="B771" s="40" t="str">
        <f>IFERROR(VLOOKUP(A771, Terméklista!I:J, 2, FALSE), "Várom a cikkszámot...")</f>
        <v>Várom a cikkszámot...</v>
      </c>
      <c r="C771" s="44"/>
      <c r="D771" s="40" t="str">
        <f>IFERROR(VLOOKUP(C771, Terméklista!I:J, 2, FALSE), "Várom a cikkszámot...")</f>
        <v>Várom a cikkszámot...</v>
      </c>
      <c r="E771" s="40"/>
      <c r="F771" s="40"/>
      <c r="G771" s="41"/>
    </row>
    <row r="772" spans="1:7" x14ac:dyDescent="0.3">
      <c r="A772" s="42"/>
      <c r="B772" s="40" t="str">
        <f>IFERROR(VLOOKUP(A772, Terméklista!I:J, 2, FALSE), "Várom a cikkszámot...")</f>
        <v>Várom a cikkszámot...</v>
      </c>
      <c r="C772" s="44"/>
      <c r="D772" s="40" t="str">
        <f>IFERROR(VLOOKUP(C772, Terméklista!I:J, 2, FALSE), "Várom a cikkszámot...")</f>
        <v>Várom a cikkszámot...</v>
      </c>
      <c r="E772" s="40"/>
      <c r="F772" s="40"/>
      <c r="G772" s="41"/>
    </row>
    <row r="773" spans="1:7" x14ac:dyDescent="0.3">
      <c r="A773" s="42"/>
      <c r="B773" s="40" t="str">
        <f>IFERROR(VLOOKUP(A773, Terméklista!I:J, 2, FALSE), "Várom a cikkszámot...")</f>
        <v>Várom a cikkszámot...</v>
      </c>
      <c r="C773" s="44"/>
      <c r="D773" s="40" t="str">
        <f>IFERROR(VLOOKUP(C773, Terméklista!I:J, 2, FALSE), "Várom a cikkszámot...")</f>
        <v>Várom a cikkszámot...</v>
      </c>
      <c r="E773" s="40"/>
      <c r="F773" s="40"/>
      <c r="G773" s="41"/>
    </row>
    <row r="774" spans="1:7" x14ac:dyDescent="0.3">
      <c r="A774" s="42"/>
      <c r="B774" s="40" t="str">
        <f>IFERROR(VLOOKUP(A774, Terméklista!I:J, 2, FALSE), "Várom a cikkszámot...")</f>
        <v>Várom a cikkszámot...</v>
      </c>
      <c r="C774" s="44"/>
      <c r="D774" s="40" t="str">
        <f>IFERROR(VLOOKUP(C774, Terméklista!I:J, 2, FALSE), "Várom a cikkszámot...")</f>
        <v>Várom a cikkszámot...</v>
      </c>
      <c r="E774" s="40"/>
      <c r="F774" s="40"/>
      <c r="G774" s="41"/>
    </row>
    <row r="775" spans="1:7" x14ac:dyDescent="0.3">
      <c r="A775" s="42"/>
      <c r="B775" s="40" t="str">
        <f>IFERROR(VLOOKUP(A775, Terméklista!I:J, 2, FALSE), "Várom a cikkszámot...")</f>
        <v>Várom a cikkszámot...</v>
      </c>
      <c r="C775" s="44"/>
      <c r="D775" s="40" t="str">
        <f>IFERROR(VLOOKUP(C775, Terméklista!I:J, 2, FALSE), "Várom a cikkszámot...")</f>
        <v>Várom a cikkszámot...</v>
      </c>
      <c r="E775" s="40"/>
      <c r="F775" s="40"/>
      <c r="G775" s="41"/>
    </row>
    <row r="776" spans="1:7" x14ac:dyDescent="0.3">
      <c r="A776" s="42"/>
      <c r="B776" s="40" t="str">
        <f>IFERROR(VLOOKUP(A776, Terméklista!I:J, 2, FALSE), "Várom a cikkszámot...")</f>
        <v>Várom a cikkszámot...</v>
      </c>
      <c r="C776" s="44"/>
      <c r="D776" s="40" t="str">
        <f>IFERROR(VLOOKUP(C776, Terméklista!I:J, 2, FALSE), "Várom a cikkszámot...")</f>
        <v>Várom a cikkszámot...</v>
      </c>
      <c r="E776" s="40"/>
      <c r="F776" s="40"/>
      <c r="G776" s="41"/>
    </row>
    <row r="777" spans="1:7" x14ac:dyDescent="0.3">
      <c r="A777" s="42"/>
      <c r="B777" s="40" t="str">
        <f>IFERROR(VLOOKUP(A777, Terméklista!I:J, 2, FALSE), "Várom a cikkszámot...")</f>
        <v>Várom a cikkszámot...</v>
      </c>
      <c r="C777" s="44"/>
      <c r="D777" s="40" t="str">
        <f>IFERROR(VLOOKUP(C777, Terméklista!I:J, 2, FALSE), "Várom a cikkszámot...")</f>
        <v>Várom a cikkszámot...</v>
      </c>
      <c r="E777" s="40"/>
      <c r="F777" s="40"/>
      <c r="G777" s="41"/>
    </row>
    <row r="778" spans="1:7" x14ac:dyDescent="0.3">
      <c r="A778" s="42"/>
      <c r="B778" s="40" t="str">
        <f>IFERROR(VLOOKUP(A778, Terméklista!I:J, 2, FALSE), "Várom a cikkszámot...")</f>
        <v>Várom a cikkszámot...</v>
      </c>
      <c r="C778" s="44"/>
      <c r="D778" s="40" t="str">
        <f>IFERROR(VLOOKUP(C778, Terméklista!I:J, 2, FALSE), "Várom a cikkszámot...")</f>
        <v>Várom a cikkszámot...</v>
      </c>
      <c r="E778" s="40"/>
      <c r="F778" s="40"/>
      <c r="G778" s="41"/>
    </row>
    <row r="779" spans="1:7" x14ac:dyDescent="0.3">
      <c r="A779" s="42"/>
      <c r="B779" s="40" t="str">
        <f>IFERROR(VLOOKUP(A779, Terméklista!I:J, 2, FALSE), "Várom a cikkszámot...")</f>
        <v>Várom a cikkszámot...</v>
      </c>
      <c r="C779" s="44"/>
      <c r="D779" s="40" t="str">
        <f>IFERROR(VLOOKUP(C779, Terméklista!I:J, 2, FALSE), "Várom a cikkszámot...")</f>
        <v>Várom a cikkszámot...</v>
      </c>
      <c r="E779" s="40"/>
      <c r="F779" s="40"/>
      <c r="G779" s="41"/>
    </row>
    <row r="780" spans="1:7" x14ac:dyDescent="0.3">
      <c r="A780" s="42"/>
      <c r="B780" s="40" t="str">
        <f>IFERROR(VLOOKUP(A780, Terméklista!I:J, 2, FALSE), "Várom a cikkszámot...")</f>
        <v>Várom a cikkszámot...</v>
      </c>
      <c r="C780" s="44"/>
      <c r="D780" s="40" t="str">
        <f>IFERROR(VLOOKUP(C780, Terméklista!I:J, 2, FALSE), "Várom a cikkszámot...")</f>
        <v>Várom a cikkszámot...</v>
      </c>
      <c r="E780" s="40"/>
      <c r="F780" s="40"/>
      <c r="G780" s="41"/>
    </row>
    <row r="781" spans="1:7" x14ac:dyDescent="0.3">
      <c r="A781" s="42"/>
      <c r="B781" s="40" t="str">
        <f>IFERROR(VLOOKUP(A781, Terméklista!I:J, 2, FALSE), "Várom a cikkszámot...")</f>
        <v>Várom a cikkszámot...</v>
      </c>
      <c r="C781" s="44"/>
      <c r="D781" s="40" t="str">
        <f>IFERROR(VLOOKUP(C781, Terméklista!I:J, 2, FALSE), "Várom a cikkszámot...")</f>
        <v>Várom a cikkszámot...</v>
      </c>
      <c r="E781" s="40"/>
      <c r="F781" s="40"/>
      <c r="G781" s="41"/>
    </row>
    <row r="782" spans="1:7" x14ac:dyDescent="0.3">
      <c r="A782" s="42"/>
      <c r="B782" s="40" t="str">
        <f>IFERROR(VLOOKUP(A782, Terméklista!I:J, 2, FALSE), "Várom a cikkszámot...")</f>
        <v>Várom a cikkszámot...</v>
      </c>
      <c r="C782" s="44"/>
      <c r="D782" s="40" t="str">
        <f>IFERROR(VLOOKUP(C782, Terméklista!I:J, 2, FALSE), "Várom a cikkszámot...")</f>
        <v>Várom a cikkszámot...</v>
      </c>
      <c r="E782" s="40"/>
      <c r="F782" s="40"/>
      <c r="G782" s="41"/>
    </row>
    <row r="783" spans="1:7" x14ac:dyDescent="0.3">
      <c r="A783" s="42"/>
      <c r="B783" s="40" t="str">
        <f>IFERROR(VLOOKUP(A783, Terméklista!I:J, 2, FALSE), "Várom a cikkszámot...")</f>
        <v>Várom a cikkszámot...</v>
      </c>
      <c r="C783" s="44"/>
      <c r="D783" s="40" t="str">
        <f>IFERROR(VLOOKUP(C783, Terméklista!I:J, 2, FALSE), "Várom a cikkszámot...")</f>
        <v>Várom a cikkszámot...</v>
      </c>
      <c r="E783" s="40"/>
      <c r="F783" s="40"/>
      <c r="G783" s="41"/>
    </row>
    <row r="784" spans="1:7" x14ac:dyDescent="0.3">
      <c r="A784" s="42"/>
      <c r="B784" s="40" t="str">
        <f>IFERROR(VLOOKUP(A784, Terméklista!I:J, 2, FALSE), "Várom a cikkszámot...")</f>
        <v>Várom a cikkszámot...</v>
      </c>
      <c r="C784" s="44"/>
      <c r="D784" s="40" t="str">
        <f>IFERROR(VLOOKUP(C784, Terméklista!I:J, 2, FALSE), "Várom a cikkszámot...")</f>
        <v>Várom a cikkszámot...</v>
      </c>
      <c r="E784" s="40"/>
      <c r="F784" s="40"/>
      <c r="G784" s="41"/>
    </row>
    <row r="785" spans="1:7" x14ac:dyDescent="0.3">
      <c r="A785" s="42"/>
      <c r="B785" s="40" t="str">
        <f>IFERROR(VLOOKUP(A785, Terméklista!I:J, 2, FALSE), "Várom a cikkszámot...")</f>
        <v>Várom a cikkszámot...</v>
      </c>
      <c r="C785" s="44"/>
      <c r="D785" s="40" t="str">
        <f>IFERROR(VLOOKUP(C785, Terméklista!I:J, 2, FALSE), "Várom a cikkszámot...")</f>
        <v>Várom a cikkszámot...</v>
      </c>
      <c r="E785" s="40"/>
      <c r="F785" s="40"/>
      <c r="G785" s="41"/>
    </row>
    <row r="786" spans="1:7" x14ac:dyDescent="0.3">
      <c r="A786" s="42"/>
      <c r="B786" s="40" t="str">
        <f>IFERROR(VLOOKUP(A786, Terméklista!I:J, 2, FALSE), "Várom a cikkszámot...")</f>
        <v>Várom a cikkszámot...</v>
      </c>
      <c r="C786" s="44"/>
      <c r="D786" s="40" t="str">
        <f>IFERROR(VLOOKUP(C786, Terméklista!I:J, 2, FALSE), "Várom a cikkszámot...")</f>
        <v>Várom a cikkszámot...</v>
      </c>
      <c r="E786" s="40"/>
      <c r="F786" s="40"/>
      <c r="G786" s="41"/>
    </row>
    <row r="787" spans="1:7" x14ac:dyDescent="0.3">
      <c r="A787" s="42"/>
      <c r="B787" s="40" t="str">
        <f>IFERROR(VLOOKUP(A787, Terméklista!I:J, 2, FALSE), "Várom a cikkszámot...")</f>
        <v>Várom a cikkszámot...</v>
      </c>
      <c r="C787" s="44"/>
      <c r="D787" s="40" t="str">
        <f>IFERROR(VLOOKUP(C787, Terméklista!I:J, 2, FALSE), "Várom a cikkszámot...")</f>
        <v>Várom a cikkszámot...</v>
      </c>
      <c r="E787" s="40"/>
      <c r="F787" s="40"/>
      <c r="G787" s="41"/>
    </row>
    <row r="788" spans="1:7" x14ac:dyDescent="0.3">
      <c r="A788" s="42"/>
      <c r="B788" s="40" t="str">
        <f>IFERROR(VLOOKUP(A788, Terméklista!I:J, 2, FALSE), "Várom a cikkszámot...")</f>
        <v>Várom a cikkszámot...</v>
      </c>
      <c r="C788" s="44"/>
      <c r="D788" s="40" t="str">
        <f>IFERROR(VLOOKUP(C788, Terméklista!I:J, 2, FALSE), "Várom a cikkszámot...")</f>
        <v>Várom a cikkszámot...</v>
      </c>
      <c r="E788" s="40"/>
      <c r="F788" s="40"/>
      <c r="G788" s="41"/>
    </row>
    <row r="789" spans="1:7" x14ac:dyDescent="0.3">
      <c r="A789" s="42"/>
      <c r="B789" s="40" t="str">
        <f>IFERROR(VLOOKUP(A789, Terméklista!I:J, 2, FALSE), "Várom a cikkszámot...")</f>
        <v>Várom a cikkszámot...</v>
      </c>
      <c r="C789" s="44"/>
      <c r="D789" s="40" t="str">
        <f>IFERROR(VLOOKUP(C789, Terméklista!I:J, 2, FALSE), "Várom a cikkszámot...")</f>
        <v>Várom a cikkszámot...</v>
      </c>
      <c r="E789" s="40"/>
      <c r="F789" s="40"/>
      <c r="G789" s="41"/>
    </row>
    <row r="790" spans="1:7" x14ac:dyDescent="0.3">
      <c r="A790" s="42"/>
      <c r="B790" s="40" t="str">
        <f>IFERROR(VLOOKUP(A790, Terméklista!I:J, 2, FALSE), "Várom a cikkszámot...")</f>
        <v>Várom a cikkszámot...</v>
      </c>
      <c r="C790" s="44"/>
      <c r="D790" s="40" t="str">
        <f>IFERROR(VLOOKUP(C790, Terméklista!I:J, 2, FALSE), "Várom a cikkszámot...")</f>
        <v>Várom a cikkszámot...</v>
      </c>
      <c r="E790" s="40"/>
      <c r="F790" s="40"/>
      <c r="G790" s="41"/>
    </row>
    <row r="791" spans="1:7" x14ac:dyDescent="0.3">
      <c r="A791" s="42"/>
      <c r="B791" s="40" t="str">
        <f>IFERROR(VLOOKUP(A791, Terméklista!I:J, 2, FALSE), "Várom a cikkszámot...")</f>
        <v>Várom a cikkszámot...</v>
      </c>
      <c r="C791" s="44"/>
      <c r="D791" s="40" t="str">
        <f>IFERROR(VLOOKUP(C791, Terméklista!I:J, 2, FALSE), "Várom a cikkszámot...")</f>
        <v>Várom a cikkszámot...</v>
      </c>
      <c r="E791" s="40"/>
      <c r="F791" s="40"/>
      <c r="G791" s="41"/>
    </row>
    <row r="792" spans="1:7" x14ac:dyDescent="0.3">
      <c r="A792" s="42"/>
      <c r="B792" s="40" t="str">
        <f>IFERROR(VLOOKUP(A792, Terméklista!I:J, 2, FALSE), "Várom a cikkszámot...")</f>
        <v>Várom a cikkszámot...</v>
      </c>
      <c r="C792" s="44"/>
      <c r="D792" s="40" t="str">
        <f>IFERROR(VLOOKUP(C792, Terméklista!I:J, 2, FALSE), "Várom a cikkszámot...")</f>
        <v>Várom a cikkszámot...</v>
      </c>
      <c r="E792" s="40"/>
      <c r="F792" s="40"/>
      <c r="G792" s="41"/>
    </row>
    <row r="793" spans="1:7" x14ac:dyDescent="0.3">
      <c r="A793" s="42"/>
      <c r="B793" s="40" t="str">
        <f>IFERROR(VLOOKUP(A793, Terméklista!I:J, 2, FALSE), "Várom a cikkszámot...")</f>
        <v>Várom a cikkszámot...</v>
      </c>
      <c r="C793" s="44"/>
      <c r="D793" s="40" t="str">
        <f>IFERROR(VLOOKUP(C793, Terméklista!I:J, 2, FALSE), "Várom a cikkszámot...")</f>
        <v>Várom a cikkszámot...</v>
      </c>
      <c r="E793" s="40"/>
      <c r="F793" s="40"/>
      <c r="G793" s="41"/>
    </row>
    <row r="794" spans="1:7" x14ac:dyDescent="0.3">
      <c r="A794" s="42"/>
      <c r="B794" s="40" t="str">
        <f>IFERROR(VLOOKUP(A794, Terméklista!I:J, 2, FALSE), "Várom a cikkszámot...")</f>
        <v>Várom a cikkszámot...</v>
      </c>
      <c r="C794" s="44"/>
      <c r="D794" s="40" t="str">
        <f>IFERROR(VLOOKUP(C794, Terméklista!I:J, 2, FALSE), "Várom a cikkszámot...")</f>
        <v>Várom a cikkszámot...</v>
      </c>
      <c r="E794" s="40"/>
      <c r="F794" s="40"/>
      <c r="G794" s="41"/>
    </row>
    <row r="795" spans="1:7" x14ac:dyDescent="0.3">
      <c r="A795" s="42"/>
      <c r="B795" s="40" t="str">
        <f>IFERROR(VLOOKUP(A795, Terméklista!I:J, 2, FALSE), "Várom a cikkszámot...")</f>
        <v>Várom a cikkszámot...</v>
      </c>
      <c r="C795" s="44"/>
      <c r="D795" s="40" t="str">
        <f>IFERROR(VLOOKUP(C795, Terméklista!I:J, 2, FALSE), "Várom a cikkszámot...")</f>
        <v>Várom a cikkszámot...</v>
      </c>
      <c r="E795" s="40"/>
      <c r="F795" s="40"/>
      <c r="G795" s="41"/>
    </row>
    <row r="796" spans="1:7" x14ac:dyDescent="0.3">
      <c r="A796" s="42"/>
      <c r="B796" s="40" t="str">
        <f>IFERROR(VLOOKUP(A796, Terméklista!I:J, 2, FALSE), "Várom a cikkszámot...")</f>
        <v>Várom a cikkszámot...</v>
      </c>
      <c r="C796" s="44"/>
      <c r="D796" s="40" t="str">
        <f>IFERROR(VLOOKUP(C796, Terméklista!I:J, 2, FALSE), "Várom a cikkszámot...")</f>
        <v>Várom a cikkszámot...</v>
      </c>
      <c r="E796" s="40"/>
      <c r="F796" s="40"/>
      <c r="G796" s="41"/>
    </row>
    <row r="797" spans="1:7" x14ac:dyDescent="0.3">
      <c r="A797" s="42"/>
      <c r="B797" s="40" t="str">
        <f>IFERROR(VLOOKUP(A797, Terméklista!I:J, 2, FALSE), "Várom a cikkszámot...")</f>
        <v>Várom a cikkszámot...</v>
      </c>
      <c r="C797" s="44"/>
      <c r="D797" s="40" t="str">
        <f>IFERROR(VLOOKUP(C797, Terméklista!I:J, 2, FALSE), "Várom a cikkszámot...")</f>
        <v>Várom a cikkszámot...</v>
      </c>
      <c r="E797" s="40"/>
      <c r="F797" s="40"/>
      <c r="G797" s="41"/>
    </row>
    <row r="798" spans="1:7" x14ac:dyDescent="0.3">
      <c r="A798" s="42"/>
      <c r="B798" s="40" t="str">
        <f>IFERROR(VLOOKUP(A798, Terméklista!I:J, 2, FALSE), "Várom a cikkszámot...")</f>
        <v>Várom a cikkszámot...</v>
      </c>
      <c r="C798" s="44"/>
      <c r="D798" s="40" t="str">
        <f>IFERROR(VLOOKUP(C798, Terméklista!I:J, 2, FALSE), "Várom a cikkszámot...")</f>
        <v>Várom a cikkszámot...</v>
      </c>
      <c r="E798" s="40"/>
      <c r="F798" s="40"/>
      <c r="G798" s="41"/>
    </row>
    <row r="799" spans="1:7" x14ac:dyDescent="0.3">
      <c r="A799" s="42"/>
      <c r="B799" s="40" t="str">
        <f>IFERROR(VLOOKUP(A799, Terméklista!I:J, 2, FALSE), "Várom a cikkszámot...")</f>
        <v>Várom a cikkszámot...</v>
      </c>
      <c r="C799" s="44"/>
      <c r="D799" s="40" t="str">
        <f>IFERROR(VLOOKUP(C799, Terméklista!I:J, 2, FALSE), "Várom a cikkszámot...")</f>
        <v>Várom a cikkszámot...</v>
      </c>
      <c r="E799" s="40"/>
      <c r="F799" s="40"/>
      <c r="G799" s="41"/>
    </row>
    <row r="800" spans="1:7" x14ac:dyDescent="0.3">
      <c r="A800" s="42"/>
      <c r="B800" s="40" t="str">
        <f>IFERROR(VLOOKUP(A800, Terméklista!I:J, 2, FALSE), "Várom a cikkszámot...")</f>
        <v>Várom a cikkszámot...</v>
      </c>
      <c r="C800" s="44"/>
      <c r="D800" s="40" t="str">
        <f>IFERROR(VLOOKUP(C800, Terméklista!I:J, 2, FALSE), "Várom a cikkszámot...")</f>
        <v>Várom a cikkszámot...</v>
      </c>
      <c r="E800" s="40"/>
      <c r="F800" s="40"/>
      <c r="G800" s="41"/>
    </row>
    <row r="801" spans="1:7" x14ac:dyDescent="0.3">
      <c r="A801" s="42"/>
      <c r="B801" s="40" t="str">
        <f>IFERROR(VLOOKUP(A801, Terméklista!I:J, 2, FALSE), "Várom a cikkszámot...")</f>
        <v>Várom a cikkszámot...</v>
      </c>
      <c r="C801" s="44"/>
      <c r="D801" s="40" t="str">
        <f>IFERROR(VLOOKUP(C801, Terméklista!I:J, 2, FALSE), "Várom a cikkszámot...")</f>
        <v>Várom a cikkszámot...</v>
      </c>
      <c r="E801" s="40"/>
      <c r="F801" s="40"/>
      <c r="G801" s="41"/>
    </row>
    <row r="802" spans="1:7" x14ac:dyDescent="0.3">
      <c r="A802" s="42"/>
      <c r="B802" s="40" t="str">
        <f>IFERROR(VLOOKUP(A802, Terméklista!I:J, 2, FALSE), "Várom a cikkszámot...")</f>
        <v>Várom a cikkszámot...</v>
      </c>
      <c r="C802" s="44"/>
      <c r="D802" s="40" t="str">
        <f>IFERROR(VLOOKUP(C802, Terméklista!I:J, 2, FALSE), "Várom a cikkszámot...")</f>
        <v>Várom a cikkszámot...</v>
      </c>
      <c r="E802" s="40"/>
      <c r="F802" s="40"/>
      <c r="G802" s="41"/>
    </row>
    <row r="803" spans="1:7" x14ac:dyDescent="0.3">
      <c r="A803" s="42"/>
      <c r="B803" s="40" t="str">
        <f>IFERROR(VLOOKUP(A803, Terméklista!I:J, 2, FALSE), "Várom a cikkszámot...")</f>
        <v>Várom a cikkszámot...</v>
      </c>
      <c r="C803" s="44"/>
      <c r="D803" s="40" t="str">
        <f>IFERROR(VLOOKUP(C803, Terméklista!I:J, 2, FALSE), "Várom a cikkszámot...")</f>
        <v>Várom a cikkszámot...</v>
      </c>
      <c r="E803" s="40"/>
      <c r="F803" s="40"/>
      <c r="G803" s="41"/>
    </row>
    <row r="804" spans="1:7" x14ac:dyDescent="0.3">
      <c r="A804" s="42"/>
      <c r="B804" s="40" t="str">
        <f>IFERROR(VLOOKUP(A804, Terméklista!I:J, 2, FALSE), "Várom a cikkszámot...")</f>
        <v>Várom a cikkszámot...</v>
      </c>
      <c r="C804" s="44"/>
      <c r="D804" s="40" t="str">
        <f>IFERROR(VLOOKUP(C804, Terméklista!I:J, 2, FALSE), "Várom a cikkszámot...")</f>
        <v>Várom a cikkszámot...</v>
      </c>
      <c r="E804" s="40"/>
      <c r="F804" s="40"/>
      <c r="G804" s="41"/>
    </row>
    <row r="805" spans="1:7" x14ac:dyDescent="0.3">
      <c r="A805" s="42"/>
      <c r="B805" s="40" t="str">
        <f>IFERROR(VLOOKUP(A805, Terméklista!I:J, 2, FALSE), "Várom a cikkszámot...")</f>
        <v>Várom a cikkszámot...</v>
      </c>
      <c r="C805" s="44"/>
      <c r="D805" s="40" t="str">
        <f>IFERROR(VLOOKUP(C805, Terméklista!I:J, 2, FALSE), "Várom a cikkszámot...")</f>
        <v>Várom a cikkszámot...</v>
      </c>
      <c r="E805" s="40"/>
      <c r="F805" s="40"/>
      <c r="G805" s="41"/>
    </row>
    <row r="806" spans="1:7" x14ac:dyDescent="0.3">
      <c r="A806" s="42"/>
      <c r="B806" s="40" t="str">
        <f>IFERROR(VLOOKUP(A806, Terméklista!I:J, 2, FALSE), "Várom a cikkszámot...")</f>
        <v>Várom a cikkszámot...</v>
      </c>
      <c r="C806" s="44"/>
      <c r="D806" s="40" t="str">
        <f>IFERROR(VLOOKUP(C806, Terméklista!I:J, 2, FALSE), "Várom a cikkszámot...")</f>
        <v>Várom a cikkszámot...</v>
      </c>
      <c r="E806" s="40"/>
      <c r="F806" s="40"/>
      <c r="G806" s="41"/>
    </row>
    <row r="807" spans="1:7" x14ac:dyDescent="0.3">
      <c r="A807" s="42"/>
      <c r="B807" s="40" t="str">
        <f>IFERROR(VLOOKUP(A807, Terméklista!I:J, 2, FALSE), "Várom a cikkszámot...")</f>
        <v>Várom a cikkszámot...</v>
      </c>
      <c r="C807" s="44"/>
      <c r="D807" s="40" t="str">
        <f>IFERROR(VLOOKUP(C807, Terméklista!I:J, 2, FALSE), "Várom a cikkszámot...")</f>
        <v>Várom a cikkszámot...</v>
      </c>
      <c r="E807" s="40"/>
      <c r="F807" s="40"/>
      <c r="G807" s="41"/>
    </row>
    <row r="808" spans="1:7" x14ac:dyDescent="0.3">
      <c r="A808" s="42"/>
      <c r="B808" s="40" t="str">
        <f>IFERROR(VLOOKUP(A808, Terméklista!I:J, 2, FALSE), "Várom a cikkszámot...")</f>
        <v>Várom a cikkszámot...</v>
      </c>
      <c r="C808" s="44"/>
      <c r="D808" s="40" t="str">
        <f>IFERROR(VLOOKUP(C808, Terméklista!I:J, 2, FALSE), "Várom a cikkszámot...")</f>
        <v>Várom a cikkszámot...</v>
      </c>
      <c r="E808" s="40"/>
      <c r="F808" s="40"/>
      <c r="G808" s="41"/>
    </row>
    <row r="809" spans="1:7" x14ac:dyDescent="0.3">
      <c r="A809" s="42"/>
      <c r="B809" s="40" t="str">
        <f>IFERROR(VLOOKUP(A809, Terméklista!I:J, 2, FALSE), "Várom a cikkszámot...")</f>
        <v>Várom a cikkszámot...</v>
      </c>
      <c r="C809" s="44"/>
      <c r="D809" s="40" t="str">
        <f>IFERROR(VLOOKUP(C809, Terméklista!I:J, 2, FALSE), "Várom a cikkszámot...")</f>
        <v>Várom a cikkszámot...</v>
      </c>
      <c r="E809" s="40"/>
      <c r="F809" s="40"/>
      <c r="G809" s="41"/>
    </row>
    <row r="810" spans="1:7" x14ac:dyDescent="0.3">
      <c r="A810" s="42"/>
      <c r="B810" s="40" t="str">
        <f>IFERROR(VLOOKUP(A810, Terméklista!I:J, 2, FALSE), "Várom a cikkszámot...")</f>
        <v>Várom a cikkszámot...</v>
      </c>
      <c r="C810" s="44"/>
      <c r="D810" s="40" t="str">
        <f>IFERROR(VLOOKUP(C810, Terméklista!I:J, 2, FALSE), "Várom a cikkszámot...")</f>
        <v>Várom a cikkszámot...</v>
      </c>
      <c r="E810" s="40"/>
      <c r="F810" s="40"/>
      <c r="G810" s="41"/>
    </row>
    <row r="811" spans="1:7" x14ac:dyDescent="0.3">
      <c r="A811" s="42"/>
      <c r="B811" s="40" t="str">
        <f>IFERROR(VLOOKUP(A811, Terméklista!I:J, 2, FALSE), "Várom a cikkszámot...")</f>
        <v>Várom a cikkszámot...</v>
      </c>
      <c r="C811" s="44"/>
      <c r="D811" s="40" t="str">
        <f>IFERROR(VLOOKUP(C811, Terméklista!I:J, 2, FALSE), "Várom a cikkszámot...")</f>
        <v>Várom a cikkszámot...</v>
      </c>
      <c r="E811" s="40"/>
      <c r="F811" s="40"/>
      <c r="G811" s="41"/>
    </row>
    <row r="812" spans="1:7" x14ac:dyDescent="0.3">
      <c r="A812" s="42"/>
      <c r="B812" s="40" t="str">
        <f>IFERROR(VLOOKUP(A812, Terméklista!I:J, 2, FALSE), "Várom a cikkszámot...")</f>
        <v>Várom a cikkszámot...</v>
      </c>
      <c r="C812" s="44"/>
      <c r="D812" s="40" t="str">
        <f>IFERROR(VLOOKUP(C812, Terméklista!I:J, 2, FALSE), "Várom a cikkszámot...")</f>
        <v>Várom a cikkszámot...</v>
      </c>
      <c r="E812" s="40"/>
      <c r="F812" s="40"/>
      <c r="G812" s="41"/>
    </row>
    <row r="813" spans="1:7" x14ac:dyDescent="0.3">
      <c r="A813" s="42"/>
      <c r="B813" s="40" t="str">
        <f>IFERROR(VLOOKUP(A813, Terméklista!I:J, 2, FALSE), "Várom a cikkszámot...")</f>
        <v>Várom a cikkszámot...</v>
      </c>
      <c r="C813" s="44"/>
      <c r="D813" s="40" t="str">
        <f>IFERROR(VLOOKUP(C813, Terméklista!I:J, 2, FALSE), "Várom a cikkszámot...")</f>
        <v>Várom a cikkszámot...</v>
      </c>
      <c r="E813" s="40"/>
      <c r="F813" s="40"/>
      <c r="G813" s="41"/>
    </row>
    <row r="814" spans="1:7" x14ac:dyDescent="0.3">
      <c r="A814" s="42"/>
      <c r="B814" s="40" t="str">
        <f>IFERROR(VLOOKUP(A814, Terméklista!I:J, 2, FALSE), "Várom a cikkszámot...")</f>
        <v>Várom a cikkszámot...</v>
      </c>
      <c r="C814" s="44"/>
      <c r="D814" s="40" t="str">
        <f>IFERROR(VLOOKUP(C814, Terméklista!I:J, 2, FALSE), "Várom a cikkszámot...")</f>
        <v>Várom a cikkszámot...</v>
      </c>
      <c r="E814" s="40"/>
      <c r="F814" s="40"/>
      <c r="G814" s="41"/>
    </row>
    <row r="815" spans="1:7" x14ac:dyDescent="0.3">
      <c r="A815" s="42"/>
      <c r="B815" s="40" t="str">
        <f>IFERROR(VLOOKUP(A815, Terméklista!I:J, 2, FALSE), "Várom a cikkszámot...")</f>
        <v>Várom a cikkszámot...</v>
      </c>
      <c r="C815" s="44"/>
      <c r="D815" s="40" t="str">
        <f>IFERROR(VLOOKUP(C815, Terméklista!I:J, 2, FALSE), "Várom a cikkszámot...")</f>
        <v>Várom a cikkszámot...</v>
      </c>
      <c r="E815" s="40"/>
      <c r="F815" s="40"/>
      <c r="G815" s="41"/>
    </row>
    <row r="816" spans="1:7" x14ac:dyDescent="0.3">
      <c r="A816" s="42"/>
      <c r="B816" s="40" t="str">
        <f>IFERROR(VLOOKUP(A816, Terméklista!I:J, 2, FALSE), "Várom a cikkszámot...")</f>
        <v>Várom a cikkszámot...</v>
      </c>
      <c r="C816" s="44"/>
      <c r="D816" s="40" t="str">
        <f>IFERROR(VLOOKUP(C816, Terméklista!I:J, 2, FALSE), "Várom a cikkszámot...")</f>
        <v>Várom a cikkszámot...</v>
      </c>
      <c r="E816" s="40"/>
      <c r="F816" s="40"/>
      <c r="G816" s="41"/>
    </row>
    <row r="817" spans="1:7" x14ac:dyDescent="0.3">
      <c r="A817" s="42"/>
      <c r="B817" s="40" t="str">
        <f>IFERROR(VLOOKUP(A817, Terméklista!I:J, 2, FALSE), "Várom a cikkszámot...")</f>
        <v>Várom a cikkszámot...</v>
      </c>
      <c r="C817" s="44"/>
      <c r="D817" s="40" t="str">
        <f>IFERROR(VLOOKUP(C817, Terméklista!I:J, 2, FALSE), "Várom a cikkszámot...")</f>
        <v>Várom a cikkszámot...</v>
      </c>
      <c r="E817" s="40"/>
      <c r="F817" s="40"/>
      <c r="G817" s="41"/>
    </row>
    <row r="818" spans="1:7" x14ac:dyDescent="0.3">
      <c r="A818" s="42"/>
      <c r="B818" s="40" t="str">
        <f>IFERROR(VLOOKUP(A818, Terméklista!I:J, 2, FALSE), "Várom a cikkszámot...")</f>
        <v>Várom a cikkszámot...</v>
      </c>
      <c r="C818" s="44"/>
      <c r="D818" s="40" t="str">
        <f>IFERROR(VLOOKUP(C818, Terméklista!I:J, 2, FALSE), "Várom a cikkszámot...")</f>
        <v>Várom a cikkszámot...</v>
      </c>
      <c r="E818" s="40"/>
      <c r="F818" s="40"/>
      <c r="G818" s="41"/>
    </row>
    <row r="819" spans="1:7" x14ac:dyDescent="0.3">
      <c r="A819" s="42"/>
      <c r="B819" s="40" t="str">
        <f>IFERROR(VLOOKUP(A819, Terméklista!I:J, 2, FALSE), "Várom a cikkszámot...")</f>
        <v>Várom a cikkszámot...</v>
      </c>
      <c r="C819" s="44"/>
      <c r="D819" s="40" t="str">
        <f>IFERROR(VLOOKUP(C819, Terméklista!I:J, 2, FALSE), "Várom a cikkszámot...")</f>
        <v>Várom a cikkszámot...</v>
      </c>
      <c r="E819" s="40"/>
      <c r="F819" s="40"/>
      <c r="G819" s="41"/>
    </row>
    <row r="820" spans="1:7" x14ac:dyDescent="0.3">
      <c r="A820" s="42"/>
      <c r="B820" s="40" t="str">
        <f>IFERROR(VLOOKUP(A820, Terméklista!I:J, 2, FALSE), "Várom a cikkszámot...")</f>
        <v>Várom a cikkszámot...</v>
      </c>
      <c r="C820" s="44"/>
      <c r="D820" s="40" t="str">
        <f>IFERROR(VLOOKUP(C820, Terméklista!I:J, 2, FALSE), "Várom a cikkszámot...")</f>
        <v>Várom a cikkszámot...</v>
      </c>
      <c r="E820" s="40"/>
      <c r="F820" s="40"/>
      <c r="G820" s="41"/>
    </row>
    <row r="821" spans="1:7" x14ac:dyDescent="0.3">
      <c r="A821" s="42"/>
      <c r="B821" s="40" t="str">
        <f>IFERROR(VLOOKUP(A821, Terméklista!I:J, 2, FALSE), "Várom a cikkszámot...")</f>
        <v>Várom a cikkszámot...</v>
      </c>
      <c r="C821" s="44"/>
      <c r="D821" s="40" t="str">
        <f>IFERROR(VLOOKUP(C821, Terméklista!I:J, 2, FALSE), "Várom a cikkszámot...")</f>
        <v>Várom a cikkszámot...</v>
      </c>
      <c r="E821" s="40"/>
      <c r="F821" s="40"/>
      <c r="G821" s="41"/>
    </row>
    <row r="822" spans="1:7" x14ac:dyDescent="0.3">
      <c r="A822" s="42"/>
      <c r="B822" s="40" t="str">
        <f>IFERROR(VLOOKUP(A822, Terméklista!I:J, 2, FALSE), "Várom a cikkszámot...")</f>
        <v>Várom a cikkszámot...</v>
      </c>
      <c r="C822" s="44"/>
      <c r="D822" s="40" t="str">
        <f>IFERROR(VLOOKUP(C822, Terméklista!I:J, 2, FALSE), "Várom a cikkszámot...")</f>
        <v>Várom a cikkszámot...</v>
      </c>
      <c r="E822" s="40"/>
      <c r="F822" s="40"/>
      <c r="G822" s="41"/>
    </row>
    <row r="823" spans="1:7" x14ac:dyDescent="0.3">
      <c r="A823" s="42"/>
      <c r="B823" s="40" t="str">
        <f>IFERROR(VLOOKUP(A823, Terméklista!I:J, 2, FALSE), "Várom a cikkszámot...")</f>
        <v>Várom a cikkszámot...</v>
      </c>
      <c r="C823" s="44"/>
      <c r="D823" s="40" t="str">
        <f>IFERROR(VLOOKUP(C823, Terméklista!I:J, 2, FALSE), "Várom a cikkszámot...")</f>
        <v>Várom a cikkszámot...</v>
      </c>
      <c r="E823" s="40"/>
      <c r="F823" s="40"/>
      <c r="G823" s="41"/>
    </row>
    <row r="824" spans="1:7" x14ac:dyDescent="0.3">
      <c r="A824" s="42"/>
      <c r="B824" s="40" t="str">
        <f>IFERROR(VLOOKUP(A824, Terméklista!I:J, 2, FALSE), "Várom a cikkszámot...")</f>
        <v>Várom a cikkszámot...</v>
      </c>
      <c r="C824" s="44"/>
      <c r="D824" s="40" t="str">
        <f>IFERROR(VLOOKUP(C824, Terméklista!I:J, 2, FALSE), "Várom a cikkszámot...")</f>
        <v>Várom a cikkszámot...</v>
      </c>
      <c r="E824" s="40"/>
      <c r="F824" s="40"/>
      <c r="G824" s="41"/>
    </row>
    <row r="825" spans="1:7" x14ac:dyDescent="0.3">
      <c r="A825" s="42"/>
      <c r="B825" s="40" t="str">
        <f>IFERROR(VLOOKUP(A825, Terméklista!I:J, 2, FALSE), "Várom a cikkszámot...")</f>
        <v>Várom a cikkszámot...</v>
      </c>
      <c r="C825" s="44"/>
      <c r="D825" s="40" t="str">
        <f>IFERROR(VLOOKUP(C825, Terméklista!I:J, 2, FALSE), "Várom a cikkszámot...")</f>
        <v>Várom a cikkszámot...</v>
      </c>
      <c r="E825" s="40"/>
      <c r="F825" s="40"/>
      <c r="G825" s="41"/>
    </row>
    <row r="826" spans="1:7" x14ac:dyDescent="0.3">
      <c r="A826" s="42"/>
      <c r="B826" s="40" t="str">
        <f>IFERROR(VLOOKUP(A826, Terméklista!I:J, 2, FALSE), "Várom a cikkszámot...")</f>
        <v>Várom a cikkszámot...</v>
      </c>
      <c r="C826" s="44"/>
      <c r="D826" s="40" t="str">
        <f>IFERROR(VLOOKUP(C826, Terméklista!I:J, 2, FALSE), "Várom a cikkszámot...")</f>
        <v>Várom a cikkszámot...</v>
      </c>
      <c r="E826" s="40"/>
      <c r="F826" s="40"/>
      <c r="G826" s="41"/>
    </row>
    <row r="827" spans="1:7" x14ac:dyDescent="0.3">
      <c r="A827" s="42"/>
      <c r="B827" s="40" t="str">
        <f>IFERROR(VLOOKUP(A827, Terméklista!I:J, 2, FALSE), "Várom a cikkszámot...")</f>
        <v>Várom a cikkszámot...</v>
      </c>
      <c r="C827" s="44"/>
      <c r="D827" s="40" t="str">
        <f>IFERROR(VLOOKUP(C827, Terméklista!I:J, 2, FALSE), "Várom a cikkszámot...")</f>
        <v>Várom a cikkszámot...</v>
      </c>
      <c r="E827" s="40"/>
      <c r="F827" s="40"/>
      <c r="G827" s="41"/>
    </row>
    <row r="828" spans="1:7" x14ac:dyDescent="0.3">
      <c r="A828" s="42"/>
      <c r="B828" s="40" t="str">
        <f>IFERROR(VLOOKUP(A828, Terméklista!I:J, 2, FALSE), "Várom a cikkszámot...")</f>
        <v>Várom a cikkszámot...</v>
      </c>
      <c r="C828" s="44"/>
      <c r="D828" s="40" t="str">
        <f>IFERROR(VLOOKUP(C828, Terméklista!I:J, 2, FALSE), "Várom a cikkszámot...")</f>
        <v>Várom a cikkszámot...</v>
      </c>
      <c r="E828" s="40"/>
      <c r="F828" s="40"/>
      <c r="G828" s="41"/>
    </row>
    <row r="829" spans="1:7" x14ac:dyDescent="0.3">
      <c r="A829" s="42"/>
      <c r="B829" s="40" t="str">
        <f>IFERROR(VLOOKUP(A829, Terméklista!I:J, 2, FALSE), "Várom a cikkszámot...")</f>
        <v>Várom a cikkszámot...</v>
      </c>
      <c r="C829" s="44"/>
      <c r="D829" s="40" t="str">
        <f>IFERROR(VLOOKUP(C829, Terméklista!I:J, 2, FALSE), "Várom a cikkszámot...")</f>
        <v>Várom a cikkszámot...</v>
      </c>
      <c r="E829" s="40"/>
      <c r="F829" s="40"/>
      <c r="G829" s="41"/>
    </row>
    <row r="830" spans="1:7" x14ac:dyDescent="0.3">
      <c r="A830" s="42"/>
      <c r="B830" s="40" t="str">
        <f>IFERROR(VLOOKUP(A830, Terméklista!I:J, 2, FALSE), "Várom a cikkszámot...")</f>
        <v>Várom a cikkszámot...</v>
      </c>
      <c r="C830" s="44"/>
      <c r="D830" s="40" t="str">
        <f>IFERROR(VLOOKUP(C830, Terméklista!I:J, 2, FALSE), "Várom a cikkszámot...")</f>
        <v>Várom a cikkszámot...</v>
      </c>
      <c r="E830" s="40"/>
      <c r="F830" s="40"/>
      <c r="G830" s="41"/>
    </row>
    <row r="831" spans="1:7" x14ac:dyDescent="0.3">
      <c r="A831" s="42"/>
      <c r="B831" s="40" t="str">
        <f>IFERROR(VLOOKUP(A831, Terméklista!I:J, 2, FALSE), "Várom a cikkszámot...")</f>
        <v>Várom a cikkszámot...</v>
      </c>
      <c r="C831" s="44"/>
      <c r="D831" s="40" t="str">
        <f>IFERROR(VLOOKUP(C831, Terméklista!I:J, 2, FALSE), "Várom a cikkszámot...")</f>
        <v>Várom a cikkszámot...</v>
      </c>
      <c r="E831" s="40"/>
      <c r="F831" s="40"/>
      <c r="G831" s="41"/>
    </row>
    <row r="832" spans="1:7" x14ac:dyDescent="0.3">
      <c r="A832" s="42"/>
      <c r="B832" s="40" t="str">
        <f>IFERROR(VLOOKUP(A832, Terméklista!I:J, 2, FALSE), "Várom a cikkszámot...")</f>
        <v>Várom a cikkszámot...</v>
      </c>
      <c r="C832" s="44"/>
      <c r="D832" s="40" t="str">
        <f>IFERROR(VLOOKUP(C832, Terméklista!I:J, 2, FALSE), "Várom a cikkszámot...")</f>
        <v>Várom a cikkszámot...</v>
      </c>
      <c r="E832" s="40"/>
      <c r="F832" s="40"/>
      <c r="G832" s="41"/>
    </row>
    <row r="833" spans="1:7" x14ac:dyDescent="0.3">
      <c r="A833" s="42"/>
      <c r="B833" s="40" t="str">
        <f>IFERROR(VLOOKUP(A833, Terméklista!I:J, 2, FALSE), "Várom a cikkszámot...")</f>
        <v>Várom a cikkszámot...</v>
      </c>
      <c r="C833" s="44"/>
      <c r="D833" s="40" t="str">
        <f>IFERROR(VLOOKUP(C833, Terméklista!I:J, 2, FALSE), "Várom a cikkszámot...")</f>
        <v>Várom a cikkszámot...</v>
      </c>
      <c r="E833" s="40"/>
      <c r="F833" s="40"/>
      <c r="G833" s="41"/>
    </row>
    <row r="834" spans="1:7" x14ac:dyDescent="0.3">
      <c r="A834" s="42"/>
      <c r="B834" s="40" t="str">
        <f>IFERROR(VLOOKUP(A834, Terméklista!I:J, 2, FALSE), "Várom a cikkszámot...")</f>
        <v>Várom a cikkszámot...</v>
      </c>
      <c r="C834" s="44"/>
      <c r="D834" s="40" t="str">
        <f>IFERROR(VLOOKUP(C834, Terméklista!I:J, 2, FALSE), "Várom a cikkszámot...")</f>
        <v>Várom a cikkszámot...</v>
      </c>
      <c r="E834" s="40"/>
      <c r="F834" s="40"/>
      <c r="G834" s="41"/>
    </row>
    <row r="835" spans="1:7" x14ac:dyDescent="0.3">
      <c r="A835" s="42"/>
      <c r="B835" s="40" t="str">
        <f>IFERROR(VLOOKUP(A835, Terméklista!I:J, 2, FALSE), "Várom a cikkszámot...")</f>
        <v>Várom a cikkszámot...</v>
      </c>
      <c r="C835" s="44"/>
      <c r="D835" s="40" t="str">
        <f>IFERROR(VLOOKUP(C835, Terméklista!I:J, 2, FALSE), "Várom a cikkszámot...")</f>
        <v>Várom a cikkszámot...</v>
      </c>
      <c r="E835" s="40"/>
      <c r="F835" s="40"/>
      <c r="G835" s="41"/>
    </row>
    <row r="836" spans="1:7" x14ac:dyDescent="0.3">
      <c r="A836" s="42"/>
      <c r="B836" s="40" t="str">
        <f>IFERROR(VLOOKUP(A836, Terméklista!I:J, 2, FALSE), "Várom a cikkszámot...")</f>
        <v>Várom a cikkszámot...</v>
      </c>
      <c r="C836" s="44"/>
      <c r="D836" s="40" t="str">
        <f>IFERROR(VLOOKUP(C836, Terméklista!I:J, 2, FALSE), "Várom a cikkszámot...")</f>
        <v>Várom a cikkszámot...</v>
      </c>
      <c r="E836" s="40"/>
      <c r="F836" s="40"/>
      <c r="G836" s="41"/>
    </row>
    <row r="837" spans="1:7" x14ac:dyDescent="0.3">
      <c r="A837" s="42"/>
      <c r="B837" s="40" t="str">
        <f>IFERROR(VLOOKUP(A837, Terméklista!I:J, 2, FALSE), "Várom a cikkszámot...")</f>
        <v>Várom a cikkszámot...</v>
      </c>
      <c r="C837" s="44"/>
      <c r="D837" s="40" t="str">
        <f>IFERROR(VLOOKUP(C837, Terméklista!I:J, 2, FALSE), "Várom a cikkszámot...")</f>
        <v>Várom a cikkszámot...</v>
      </c>
      <c r="E837" s="40"/>
      <c r="F837" s="40"/>
      <c r="G837" s="41"/>
    </row>
    <row r="838" spans="1:7" x14ac:dyDescent="0.3">
      <c r="A838" s="42"/>
      <c r="B838" s="40" t="str">
        <f>IFERROR(VLOOKUP(A838, Terméklista!I:J, 2, FALSE), "Várom a cikkszámot...")</f>
        <v>Várom a cikkszámot...</v>
      </c>
      <c r="C838" s="44"/>
      <c r="D838" s="40" t="str">
        <f>IFERROR(VLOOKUP(C838, Terméklista!I:J, 2, FALSE), "Várom a cikkszámot...")</f>
        <v>Várom a cikkszámot...</v>
      </c>
      <c r="E838" s="40"/>
      <c r="F838" s="40"/>
      <c r="G838" s="41"/>
    </row>
    <row r="839" spans="1:7" x14ac:dyDescent="0.3">
      <c r="A839" s="42"/>
      <c r="B839" s="40" t="str">
        <f>IFERROR(VLOOKUP(A839, Terméklista!I:J, 2, FALSE), "Várom a cikkszámot...")</f>
        <v>Várom a cikkszámot...</v>
      </c>
      <c r="C839" s="44"/>
      <c r="D839" s="40" t="str">
        <f>IFERROR(VLOOKUP(C839, Terméklista!I:J, 2, FALSE), "Várom a cikkszámot...")</f>
        <v>Várom a cikkszámot...</v>
      </c>
      <c r="E839" s="40"/>
      <c r="F839" s="40"/>
      <c r="G839" s="41"/>
    </row>
    <row r="840" spans="1:7" x14ac:dyDescent="0.3">
      <c r="A840" s="42"/>
      <c r="B840" s="40" t="str">
        <f>IFERROR(VLOOKUP(A840, Terméklista!I:J, 2, FALSE), "Várom a cikkszámot...")</f>
        <v>Várom a cikkszámot...</v>
      </c>
      <c r="C840" s="44"/>
      <c r="D840" s="40" t="str">
        <f>IFERROR(VLOOKUP(C840, Terméklista!I:J, 2, FALSE), "Várom a cikkszámot...")</f>
        <v>Várom a cikkszámot...</v>
      </c>
      <c r="E840" s="40"/>
      <c r="F840" s="40"/>
      <c r="G840" s="41"/>
    </row>
    <row r="841" spans="1:7" x14ac:dyDescent="0.3">
      <c r="A841" s="42"/>
      <c r="B841" s="40" t="str">
        <f>IFERROR(VLOOKUP(A841, Terméklista!I:J, 2, FALSE), "Várom a cikkszámot...")</f>
        <v>Várom a cikkszámot...</v>
      </c>
      <c r="C841" s="44"/>
      <c r="D841" s="40" t="str">
        <f>IFERROR(VLOOKUP(C841, Terméklista!I:J, 2, FALSE), "Várom a cikkszámot...")</f>
        <v>Várom a cikkszámot...</v>
      </c>
      <c r="E841" s="40"/>
      <c r="F841" s="40"/>
      <c r="G841" s="41"/>
    </row>
    <row r="842" spans="1:7" x14ac:dyDescent="0.3">
      <c r="A842" s="42"/>
      <c r="B842" s="40" t="str">
        <f>IFERROR(VLOOKUP(A842, Terméklista!I:J, 2, FALSE), "Várom a cikkszámot...")</f>
        <v>Várom a cikkszámot...</v>
      </c>
      <c r="C842" s="44"/>
      <c r="D842" s="40" t="str">
        <f>IFERROR(VLOOKUP(C842, Terméklista!I:J, 2, FALSE), "Várom a cikkszámot...")</f>
        <v>Várom a cikkszámot...</v>
      </c>
      <c r="E842" s="40"/>
      <c r="F842" s="40"/>
      <c r="G842" s="41"/>
    </row>
    <row r="843" spans="1:7" x14ac:dyDescent="0.3">
      <c r="A843" s="42"/>
      <c r="B843" s="40" t="str">
        <f>IFERROR(VLOOKUP(A843, Terméklista!I:J, 2, FALSE), "Várom a cikkszámot...")</f>
        <v>Várom a cikkszámot...</v>
      </c>
      <c r="C843" s="44"/>
      <c r="D843" s="40" t="str">
        <f>IFERROR(VLOOKUP(C843, Terméklista!I:J, 2, FALSE), "Várom a cikkszámot...")</f>
        <v>Várom a cikkszámot...</v>
      </c>
      <c r="E843" s="40"/>
      <c r="F843" s="40"/>
      <c r="G843" s="41"/>
    </row>
    <row r="844" spans="1:7" x14ac:dyDescent="0.3">
      <c r="A844" s="42"/>
      <c r="B844" s="40" t="str">
        <f>IFERROR(VLOOKUP(A844, Terméklista!I:J, 2, FALSE), "Várom a cikkszámot...")</f>
        <v>Várom a cikkszámot...</v>
      </c>
      <c r="C844" s="44"/>
      <c r="D844" s="40" t="str">
        <f>IFERROR(VLOOKUP(C844, Terméklista!I:J, 2, FALSE), "Várom a cikkszámot...")</f>
        <v>Várom a cikkszámot...</v>
      </c>
      <c r="E844" s="40"/>
      <c r="F844" s="40"/>
      <c r="G844" s="41"/>
    </row>
    <row r="845" spans="1:7" x14ac:dyDescent="0.3">
      <c r="A845" s="42"/>
      <c r="B845" s="40" t="str">
        <f>IFERROR(VLOOKUP(A845, Terméklista!I:J, 2, FALSE), "Várom a cikkszámot...")</f>
        <v>Várom a cikkszámot...</v>
      </c>
      <c r="C845" s="44"/>
      <c r="D845" s="40" t="str">
        <f>IFERROR(VLOOKUP(C845, Terméklista!I:J, 2, FALSE), "Várom a cikkszámot...")</f>
        <v>Várom a cikkszámot...</v>
      </c>
      <c r="E845" s="40"/>
      <c r="F845" s="40"/>
      <c r="G845" s="41"/>
    </row>
    <row r="846" spans="1:7" x14ac:dyDescent="0.3">
      <c r="A846" s="42"/>
      <c r="B846" s="40" t="str">
        <f>IFERROR(VLOOKUP(A846, Terméklista!I:J, 2, FALSE), "Várom a cikkszámot...")</f>
        <v>Várom a cikkszámot...</v>
      </c>
      <c r="C846" s="44"/>
      <c r="D846" s="40" t="str">
        <f>IFERROR(VLOOKUP(C846, Terméklista!I:J, 2, FALSE), "Várom a cikkszámot...")</f>
        <v>Várom a cikkszámot...</v>
      </c>
      <c r="E846" s="40"/>
      <c r="F846" s="40"/>
      <c r="G846" s="41"/>
    </row>
    <row r="847" spans="1:7" x14ac:dyDescent="0.3">
      <c r="A847" s="42"/>
      <c r="B847" s="40" t="str">
        <f>IFERROR(VLOOKUP(A847, Terméklista!I:J, 2, FALSE), "Várom a cikkszámot...")</f>
        <v>Várom a cikkszámot...</v>
      </c>
      <c r="C847" s="44"/>
      <c r="D847" s="40" t="str">
        <f>IFERROR(VLOOKUP(C847, Terméklista!I:J, 2, FALSE), "Várom a cikkszámot...")</f>
        <v>Várom a cikkszámot...</v>
      </c>
      <c r="E847" s="40"/>
      <c r="F847" s="40"/>
      <c r="G847" s="41"/>
    </row>
    <row r="848" spans="1:7" x14ac:dyDescent="0.3">
      <c r="A848" s="42"/>
      <c r="B848" s="40" t="str">
        <f>IFERROR(VLOOKUP(A848, Terméklista!I:J, 2, FALSE), "Várom a cikkszámot...")</f>
        <v>Várom a cikkszámot...</v>
      </c>
      <c r="C848" s="44"/>
      <c r="D848" s="40" t="str">
        <f>IFERROR(VLOOKUP(C848, Terméklista!I:J, 2, FALSE), "Várom a cikkszámot...")</f>
        <v>Várom a cikkszámot...</v>
      </c>
      <c r="E848" s="40"/>
      <c r="F848" s="40"/>
      <c r="G848" s="41"/>
    </row>
    <row r="849" spans="1:7" x14ac:dyDescent="0.3">
      <c r="A849" s="42"/>
      <c r="B849" s="40" t="str">
        <f>IFERROR(VLOOKUP(A849, Terméklista!I:J, 2, FALSE), "Várom a cikkszámot...")</f>
        <v>Várom a cikkszámot...</v>
      </c>
      <c r="C849" s="44"/>
      <c r="D849" s="40" t="str">
        <f>IFERROR(VLOOKUP(C849, Terméklista!I:J, 2, FALSE), "Várom a cikkszámot...")</f>
        <v>Várom a cikkszámot...</v>
      </c>
      <c r="E849" s="40"/>
      <c r="F849" s="40"/>
      <c r="G849" s="41"/>
    </row>
    <row r="850" spans="1:7" x14ac:dyDescent="0.3">
      <c r="A850" s="42"/>
      <c r="B850" s="40" t="str">
        <f>IFERROR(VLOOKUP(A850, Terméklista!I:J, 2, FALSE), "Várom a cikkszámot...")</f>
        <v>Várom a cikkszámot...</v>
      </c>
      <c r="C850" s="44"/>
      <c r="D850" s="40" t="str">
        <f>IFERROR(VLOOKUP(C850, Terméklista!I:J, 2, FALSE), "Várom a cikkszámot...")</f>
        <v>Várom a cikkszámot...</v>
      </c>
      <c r="E850" s="40"/>
      <c r="F850" s="40"/>
      <c r="G850" s="41"/>
    </row>
    <row r="851" spans="1:7" x14ac:dyDescent="0.3">
      <c r="A851" s="42"/>
      <c r="B851" s="40" t="str">
        <f>IFERROR(VLOOKUP(A851, Terméklista!I:J, 2, FALSE), "Várom a cikkszámot...")</f>
        <v>Várom a cikkszámot...</v>
      </c>
      <c r="C851" s="44"/>
      <c r="D851" s="40" t="str">
        <f>IFERROR(VLOOKUP(C851, Terméklista!I:J, 2, FALSE), "Várom a cikkszámot...")</f>
        <v>Várom a cikkszámot...</v>
      </c>
      <c r="E851" s="40"/>
      <c r="F851" s="40"/>
      <c r="G851" s="41"/>
    </row>
    <row r="852" spans="1:7" x14ac:dyDescent="0.3">
      <c r="A852" s="42"/>
      <c r="B852" s="40" t="str">
        <f>IFERROR(VLOOKUP(A852, Terméklista!I:J, 2, FALSE), "Várom a cikkszámot...")</f>
        <v>Várom a cikkszámot...</v>
      </c>
      <c r="C852" s="44"/>
      <c r="D852" s="40" t="str">
        <f>IFERROR(VLOOKUP(C852, Terméklista!I:J, 2, FALSE), "Várom a cikkszámot...")</f>
        <v>Várom a cikkszámot...</v>
      </c>
      <c r="E852" s="40"/>
      <c r="F852" s="40"/>
      <c r="G852" s="41"/>
    </row>
    <row r="853" spans="1:7" x14ac:dyDescent="0.3">
      <c r="A853" s="42"/>
      <c r="B853" s="40" t="str">
        <f>IFERROR(VLOOKUP(A853, Terméklista!I:J, 2, FALSE), "Várom a cikkszámot...")</f>
        <v>Várom a cikkszámot...</v>
      </c>
      <c r="C853" s="44"/>
      <c r="D853" s="40" t="str">
        <f>IFERROR(VLOOKUP(C853, Terméklista!I:J, 2, FALSE), "Várom a cikkszámot...")</f>
        <v>Várom a cikkszámot...</v>
      </c>
      <c r="E853" s="40"/>
      <c r="F853" s="40"/>
      <c r="G853" s="41"/>
    </row>
    <row r="854" spans="1:7" x14ac:dyDescent="0.3">
      <c r="A854" s="42"/>
      <c r="B854" s="40" t="str">
        <f>IFERROR(VLOOKUP(A854, Terméklista!I:J, 2, FALSE), "Várom a cikkszámot...")</f>
        <v>Várom a cikkszámot...</v>
      </c>
      <c r="C854" s="44"/>
      <c r="D854" s="40" t="str">
        <f>IFERROR(VLOOKUP(C854, Terméklista!I:J, 2, FALSE), "Várom a cikkszámot...")</f>
        <v>Várom a cikkszámot...</v>
      </c>
      <c r="E854" s="40"/>
      <c r="F854" s="40"/>
      <c r="G854" s="41"/>
    </row>
    <row r="855" spans="1:7" x14ac:dyDescent="0.3">
      <c r="A855" s="42"/>
      <c r="B855" s="40" t="str">
        <f>IFERROR(VLOOKUP(A855, Terméklista!I:J, 2, FALSE), "Várom a cikkszámot...")</f>
        <v>Várom a cikkszámot...</v>
      </c>
      <c r="C855" s="44"/>
      <c r="D855" s="40" t="str">
        <f>IFERROR(VLOOKUP(C855, Terméklista!I:J, 2, FALSE), "Várom a cikkszámot...")</f>
        <v>Várom a cikkszámot...</v>
      </c>
      <c r="E855" s="40"/>
      <c r="F855" s="40"/>
      <c r="G855" s="41"/>
    </row>
    <row r="856" spans="1:7" x14ac:dyDescent="0.3">
      <c r="A856" s="42"/>
      <c r="B856" s="40" t="str">
        <f>IFERROR(VLOOKUP(A856, Terméklista!I:J, 2, FALSE), "Várom a cikkszámot...")</f>
        <v>Várom a cikkszámot...</v>
      </c>
      <c r="C856" s="44"/>
      <c r="D856" s="40" t="str">
        <f>IFERROR(VLOOKUP(C856, Terméklista!I:J, 2, FALSE), "Várom a cikkszámot...")</f>
        <v>Várom a cikkszámot...</v>
      </c>
      <c r="E856" s="40"/>
      <c r="F856" s="40"/>
      <c r="G856" s="41"/>
    </row>
    <row r="857" spans="1:7" x14ac:dyDescent="0.3">
      <c r="A857" s="42"/>
      <c r="B857" s="40" t="str">
        <f>IFERROR(VLOOKUP(A857, Terméklista!I:J, 2, FALSE), "Várom a cikkszámot...")</f>
        <v>Várom a cikkszámot...</v>
      </c>
      <c r="C857" s="44"/>
      <c r="D857" s="40" t="str">
        <f>IFERROR(VLOOKUP(C857, Terméklista!I:J, 2, FALSE), "Várom a cikkszámot...")</f>
        <v>Várom a cikkszámot...</v>
      </c>
      <c r="E857" s="40"/>
      <c r="F857" s="40"/>
      <c r="G857" s="41"/>
    </row>
    <row r="858" spans="1:7" x14ac:dyDescent="0.3">
      <c r="A858" s="42"/>
      <c r="B858" s="40" t="str">
        <f>IFERROR(VLOOKUP(A858, Terméklista!I:J, 2, FALSE), "Várom a cikkszámot...")</f>
        <v>Várom a cikkszámot...</v>
      </c>
      <c r="C858" s="44"/>
      <c r="D858" s="40" t="str">
        <f>IFERROR(VLOOKUP(C858, Terméklista!I:J, 2, FALSE), "Várom a cikkszámot...")</f>
        <v>Várom a cikkszámot...</v>
      </c>
      <c r="E858" s="40"/>
      <c r="F858" s="40"/>
      <c r="G858" s="41"/>
    </row>
    <row r="859" spans="1:7" x14ac:dyDescent="0.3">
      <c r="A859" s="42"/>
      <c r="B859" s="40" t="str">
        <f>IFERROR(VLOOKUP(A859, Terméklista!I:J, 2, FALSE), "Várom a cikkszámot...")</f>
        <v>Várom a cikkszámot...</v>
      </c>
      <c r="C859" s="44"/>
      <c r="D859" s="40" t="str">
        <f>IFERROR(VLOOKUP(C859, Terméklista!I:J, 2, FALSE), "Várom a cikkszámot...")</f>
        <v>Várom a cikkszámot...</v>
      </c>
      <c r="E859" s="40"/>
      <c r="F859" s="40"/>
      <c r="G859" s="41"/>
    </row>
    <row r="860" spans="1:7" x14ac:dyDescent="0.3">
      <c r="A860" s="42"/>
      <c r="B860" s="40" t="str">
        <f>IFERROR(VLOOKUP(A860, Terméklista!I:J, 2, FALSE), "Várom a cikkszámot...")</f>
        <v>Várom a cikkszámot...</v>
      </c>
      <c r="C860" s="44"/>
      <c r="D860" s="40" t="str">
        <f>IFERROR(VLOOKUP(C860, Terméklista!I:J, 2, FALSE), "Várom a cikkszámot...")</f>
        <v>Várom a cikkszámot...</v>
      </c>
      <c r="E860" s="40"/>
      <c r="F860" s="40"/>
      <c r="G860" s="41"/>
    </row>
    <row r="861" spans="1:7" x14ac:dyDescent="0.3">
      <c r="A861" s="42"/>
      <c r="B861" s="40" t="str">
        <f>IFERROR(VLOOKUP(A861, Terméklista!I:J, 2, FALSE), "Várom a cikkszámot...")</f>
        <v>Várom a cikkszámot...</v>
      </c>
      <c r="C861" s="44"/>
      <c r="D861" s="40" t="str">
        <f>IFERROR(VLOOKUP(C861, Terméklista!I:J, 2, FALSE), "Várom a cikkszámot...")</f>
        <v>Várom a cikkszámot...</v>
      </c>
      <c r="E861" s="40"/>
      <c r="F861" s="40"/>
      <c r="G861" s="41"/>
    </row>
    <row r="862" spans="1:7" x14ac:dyDescent="0.3">
      <c r="A862" s="42"/>
      <c r="B862" s="40" t="str">
        <f>IFERROR(VLOOKUP(A862, Terméklista!I:J, 2, FALSE), "Várom a cikkszámot...")</f>
        <v>Várom a cikkszámot...</v>
      </c>
      <c r="C862" s="44"/>
      <c r="D862" s="40" t="str">
        <f>IFERROR(VLOOKUP(C862, Terméklista!I:J, 2, FALSE), "Várom a cikkszámot...")</f>
        <v>Várom a cikkszámot...</v>
      </c>
      <c r="E862" s="40"/>
      <c r="F862" s="40"/>
      <c r="G862" s="41"/>
    </row>
    <row r="863" spans="1:7" x14ac:dyDescent="0.3">
      <c r="A863" s="42"/>
      <c r="B863" s="40" t="str">
        <f>IFERROR(VLOOKUP(A863, Terméklista!I:J, 2, FALSE), "Várom a cikkszámot...")</f>
        <v>Várom a cikkszámot...</v>
      </c>
      <c r="C863" s="44"/>
      <c r="D863" s="40" t="str">
        <f>IFERROR(VLOOKUP(C863, Terméklista!I:J, 2, FALSE), "Várom a cikkszámot...")</f>
        <v>Várom a cikkszámot...</v>
      </c>
      <c r="E863" s="40"/>
      <c r="F863" s="40"/>
      <c r="G863" s="41"/>
    </row>
    <row r="864" spans="1:7" x14ac:dyDescent="0.3">
      <c r="A864" s="42"/>
      <c r="B864" s="40" t="str">
        <f>IFERROR(VLOOKUP(A864, Terméklista!I:J, 2, FALSE), "Várom a cikkszámot...")</f>
        <v>Várom a cikkszámot...</v>
      </c>
      <c r="C864" s="44"/>
      <c r="D864" s="40" t="str">
        <f>IFERROR(VLOOKUP(C864, Terméklista!I:J, 2, FALSE), "Várom a cikkszámot...")</f>
        <v>Várom a cikkszámot...</v>
      </c>
      <c r="E864" s="40"/>
      <c r="F864" s="40"/>
      <c r="G864" s="41"/>
    </row>
    <row r="865" spans="1:7" x14ac:dyDescent="0.3">
      <c r="A865" s="42"/>
      <c r="B865" s="40" t="str">
        <f>IFERROR(VLOOKUP(A865, Terméklista!I:J, 2, FALSE), "Várom a cikkszámot...")</f>
        <v>Várom a cikkszámot...</v>
      </c>
      <c r="C865" s="44"/>
      <c r="D865" s="40" t="str">
        <f>IFERROR(VLOOKUP(C865, Terméklista!I:J, 2, FALSE), "Várom a cikkszámot...")</f>
        <v>Várom a cikkszámot...</v>
      </c>
      <c r="E865" s="40"/>
      <c r="F865" s="40"/>
      <c r="G865" s="41"/>
    </row>
    <row r="866" spans="1:7" x14ac:dyDescent="0.3">
      <c r="A866" s="42"/>
      <c r="B866" s="40" t="str">
        <f>IFERROR(VLOOKUP(A866, Terméklista!I:J, 2, FALSE), "Várom a cikkszámot...")</f>
        <v>Várom a cikkszámot...</v>
      </c>
      <c r="C866" s="44"/>
      <c r="D866" s="40" t="str">
        <f>IFERROR(VLOOKUP(C866, Terméklista!I:J, 2, FALSE), "Várom a cikkszámot...")</f>
        <v>Várom a cikkszámot...</v>
      </c>
      <c r="E866" s="40"/>
      <c r="F866" s="40"/>
      <c r="G866" s="41"/>
    </row>
    <row r="867" spans="1:7" x14ac:dyDescent="0.3">
      <c r="A867" s="42"/>
      <c r="B867" s="40" t="str">
        <f>IFERROR(VLOOKUP(A867, Terméklista!I:J, 2, FALSE), "Várom a cikkszámot...")</f>
        <v>Várom a cikkszámot...</v>
      </c>
      <c r="C867" s="44"/>
      <c r="D867" s="40" t="str">
        <f>IFERROR(VLOOKUP(C867, Terméklista!I:J, 2, FALSE), "Várom a cikkszámot...")</f>
        <v>Várom a cikkszámot...</v>
      </c>
      <c r="E867" s="40"/>
      <c r="F867" s="40"/>
      <c r="G867" s="41"/>
    </row>
    <row r="868" spans="1:7" x14ac:dyDescent="0.3">
      <c r="A868" s="42"/>
      <c r="B868" s="40" t="str">
        <f>IFERROR(VLOOKUP(A868, Terméklista!I:J, 2, FALSE), "Várom a cikkszámot...")</f>
        <v>Várom a cikkszámot...</v>
      </c>
      <c r="C868" s="44"/>
      <c r="D868" s="40" t="str">
        <f>IFERROR(VLOOKUP(C868, Terméklista!I:J, 2, FALSE), "Várom a cikkszámot...")</f>
        <v>Várom a cikkszámot...</v>
      </c>
      <c r="E868" s="40"/>
      <c r="F868" s="40"/>
      <c r="G868" s="41"/>
    </row>
    <row r="869" spans="1:7" x14ac:dyDescent="0.3">
      <c r="A869" s="42"/>
      <c r="B869" s="40" t="str">
        <f>IFERROR(VLOOKUP(A869, Terméklista!I:J, 2, FALSE), "Várom a cikkszámot...")</f>
        <v>Várom a cikkszámot...</v>
      </c>
      <c r="C869" s="44"/>
      <c r="D869" s="40" t="str">
        <f>IFERROR(VLOOKUP(C869, Terméklista!I:J, 2, FALSE), "Várom a cikkszámot...")</f>
        <v>Várom a cikkszámot...</v>
      </c>
      <c r="E869" s="40"/>
      <c r="F869" s="40"/>
      <c r="G869" s="41"/>
    </row>
    <row r="870" spans="1:7" x14ac:dyDescent="0.3">
      <c r="A870" s="42"/>
      <c r="B870" s="40" t="str">
        <f>IFERROR(VLOOKUP(A870, Terméklista!I:J, 2, FALSE), "Várom a cikkszámot...")</f>
        <v>Várom a cikkszámot...</v>
      </c>
      <c r="C870" s="44"/>
      <c r="D870" s="40" t="str">
        <f>IFERROR(VLOOKUP(C870, Terméklista!I:J, 2, FALSE), "Várom a cikkszámot...")</f>
        <v>Várom a cikkszámot...</v>
      </c>
      <c r="E870" s="40"/>
      <c r="F870" s="40"/>
      <c r="G870" s="41"/>
    </row>
    <row r="871" spans="1:7" x14ac:dyDescent="0.3">
      <c r="A871" s="42"/>
      <c r="B871" s="40" t="str">
        <f>IFERROR(VLOOKUP(A871, Terméklista!I:J, 2, FALSE), "Várom a cikkszámot...")</f>
        <v>Várom a cikkszámot...</v>
      </c>
      <c r="C871" s="44"/>
      <c r="D871" s="40" t="str">
        <f>IFERROR(VLOOKUP(C871, Terméklista!I:J, 2, FALSE), "Várom a cikkszámot...")</f>
        <v>Várom a cikkszámot...</v>
      </c>
      <c r="E871" s="40"/>
      <c r="F871" s="40"/>
      <c r="G871" s="41"/>
    </row>
    <row r="872" spans="1:7" x14ac:dyDescent="0.3">
      <c r="A872" s="42"/>
      <c r="B872" s="40" t="str">
        <f>IFERROR(VLOOKUP(A872, Terméklista!I:J, 2, FALSE), "Várom a cikkszámot...")</f>
        <v>Várom a cikkszámot...</v>
      </c>
      <c r="C872" s="44"/>
      <c r="D872" s="40" t="str">
        <f>IFERROR(VLOOKUP(C872, Terméklista!I:J, 2, FALSE), "Várom a cikkszámot...")</f>
        <v>Várom a cikkszámot...</v>
      </c>
      <c r="E872" s="40"/>
      <c r="F872" s="40"/>
      <c r="G872" s="41"/>
    </row>
    <row r="873" spans="1:7" x14ac:dyDescent="0.3">
      <c r="A873" s="42"/>
      <c r="B873" s="40" t="str">
        <f>IFERROR(VLOOKUP(A873, Terméklista!I:J, 2, FALSE), "Várom a cikkszámot...")</f>
        <v>Várom a cikkszámot...</v>
      </c>
      <c r="C873" s="44"/>
      <c r="D873" s="40" t="str">
        <f>IFERROR(VLOOKUP(C873, Terméklista!I:J, 2, FALSE), "Várom a cikkszámot...")</f>
        <v>Várom a cikkszámot...</v>
      </c>
      <c r="E873" s="40"/>
      <c r="F873" s="40"/>
      <c r="G873" s="41"/>
    </row>
    <row r="874" spans="1:7" x14ac:dyDescent="0.3">
      <c r="A874" s="42"/>
      <c r="B874" s="40" t="str">
        <f>IFERROR(VLOOKUP(A874, Terméklista!I:J, 2, FALSE), "Várom a cikkszámot...")</f>
        <v>Várom a cikkszámot...</v>
      </c>
      <c r="C874" s="44"/>
      <c r="D874" s="40" t="str">
        <f>IFERROR(VLOOKUP(C874, Terméklista!I:J, 2, FALSE), "Várom a cikkszámot...")</f>
        <v>Várom a cikkszámot...</v>
      </c>
      <c r="E874" s="40"/>
      <c r="F874" s="40"/>
      <c r="G874" s="41"/>
    </row>
    <row r="875" spans="1:7" x14ac:dyDescent="0.3">
      <c r="A875" s="42"/>
      <c r="B875" s="40" t="str">
        <f>IFERROR(VLOOKUP(A875, Terméklista!I:J, 2, FALSE), "Várom a cikkszámot...")</f>
        <v>Várom a cikkszámot...</v>
      </c>
      <c r="C875" s="44"/>
      <c r="D875" s="40" t="str">
        <f>IFERROR(VLOOKUP(C875, Terméklista!I:J, 2, FALSE), "Várom a cikkszámot...")</f>
        <v>Várom a cikkszámot...</v>
      </c>
      <c r="E875" s="40"/>
      <c r="F875" s="40"/>
      <c r="G875" s="41"/>
    </row>
    <row r="876" spans="1:7" x14ac:dyDescent="0.3">
      <c r="A876" s="42"/>
      <c r="B876" s="40" t="str">
        <f>IFERROR(VLOOKUP(A876, Terméklista!I:J, 2, FALSE), "Várom a cikkszámot...")</f>
        <v>Várom a cikkszámot...</v>
      </c>
      <c r="C876" s="44"/>
      <c r="D876" s="40" t="str">
        <f>IFERROR(VLOOKUP(C876, Terméklista!I:J, 2, FALSE), "Várom a cikkszámot...")</f>
        <v>Várom a cikkszámot...</v>
      </c>
      <c r="E876" s="40"/>
      <c r="F876" s="40"/>
      <c r="G876" s="41"/>
    </row>
    <row r="877" spans="1:7" x14ac:dyDescent="0.3">
      <c r="A877" s="42"/>
      <c r="B877" s="40" t="str">
        <f>IFERROR(VLOOKUP(A877, Terméklista!I:J, 2, FALSE), "Várom a cikkszámot...")</f>
        <v>Várom a cikkszámot...</v>
      </c>
      <c r="C877" s="44"/>
      <c r="D877" s="40" t="str">
        <f>IFERROR(VLOOKUP(C877, Terméklista!I:J, 2, FALSE), "Várom a cikkszámot...")</f>
        <v>Várom a cikkszámot...</v>
      </c>
      <c r="E877" s="40"/>
      <c r="F877" s="40"/>
      <c r="G877" s="41"/>
    </row>
    <row r="878" spans="1:7" x14ac:dyDescent="0.3">
      <c r="A878" s="42"/>
      <c r="B878" s="40" t="str">
        <f>IFERROR(VLOOKUP(A878, Terméklista!I:J, 2, FALSE), "Várom a cikkszámot...")</f>
        <v>Várom a cikkszámot...</v>
      </c>
      <c r="C878" s="44"/>
      <c r="D878" s="40" t="str">
        <f>IFERROR(VLOOKUP(C878, Terméklista!I:J, 2, FALSE), "Várom a cikkszámot...")</f>
        <v>Várom a cikkszámot...</v>
      </c>
      <c r="E878" s="40"/>
      <c r="F878" s="40"/>
      <c r="G878" s="41"/>
    </row>
    <row r="879" spans="1:7" x14ac:dyDescent="0.3">
      <c r="A879" s="42"/>
      <c r="B879" s="40" t="str">
        <f>IFERROR(VLOOKUP(A879, Terméklista!I:J, 2, FALSE), "Várom a cikkszámot...")</f>
        <v>Várom a cikkszámot...</v>
      </c>
      <c r="C879" s="44"/>
      <c r="D879" s="40" t="str">
        <f>IFERROR(VLOOKUP(C879, Terméklista!I:J, 2, FALSE), "Várom a cikkszámot...")</f>
        <v>Várom a cikkszámot...</v>
      </c>
      <c r="E879" s="40"/>
      <c r="F879" s="40"/>
      <c r="G879" s="41"/>
    </row>
    <row r="880" spans="1:7" x14ac:dyDescent="0.3">
      <c r="A880" s="42"/>
      <c r="B880" s="40" t="str">
        <f>IFERROR(VLOOKUP(A880, Terméklista!I:J, 2, FALSE), "Várom a cikkszámot...")</f>
        <v>Várom a cikkszámot...</v>
      </c>
      <c r="C880" s="44"/>
      <c r="D880" s="40" t="str">
        <f>IFERROR(VLOOKUP(C880, Terméklista!I:J, 2, FALSE), "Várom a cikkszámot...")</f>
        <v>Várom a cikkszámot...</v>
      </c>
      <c r="E880" s="40"/>
      <c r="F880" s="40"/>
      <c r="G880" s="41"/>
    </row>
    <row r="881" spans="1:7" x14ac:dyDescent="0.3">
      <c r="A881" s="42"/>
      <c r="B881" s="40" t="str">
        <f>IFERROR(VLOOKUP(A881, Terméklista!I:J, 2, FALSE), "Várom a cikkszámot...")</f>
        <v>Várom a cikkszámot...</v>
      </c>
      <c r="C881" s="44"/>
      <c r="D881" s="40" t="str">
        <f>IFERROR(VLOOKUP(C881, Terméklista!I:J, 2, FALSE), "Várom a cikkszámot...")</f>
        <v>Várom a cikkszámot...</v>
      </c>
      <c r="E881" s="40"/>
      <c r="F881" s="40"/>
      <c r="G881" s="41"/>
    </row>
    <row r="882" spans="1:7" x14ac:dyDescent="0.3">
      <c r="A882" s="42"/>
      <c r="B882" s="40" t="str">
        <f>IFERROR(VLOOKUP(A882, Terméklista!I:J, 2, FALSE), "Várom a cikkszámot...")</f>
        <v>Várom a cikkszámot...</v>
      </c>
      <c r="C882" s="44"/>
      <c r="D882" s="40" t="str">
        <f>IFERROR(VLOOKUP(C882, Terméklista!I:J, 2, FALSE), "Várom a cikkszámot...")</f>
        <v>Várom a cikkszámot...</v>
      </c>
      <c r="E882" s="40"/>
      <c r="F882" s="40"/>
      <c r="G882" s="41"/>
    </row>
    <row r="883" spans="1:7" x14ac:dyDescent="0.3">
      <c r="A883" s="42"/>
      <c r="B883" s="40" t="str">
        <f>IFERROR(VLOOKUP(A883, Terméklista!I:J, 2, FALSE), "Várom a cikkszámot...")</f>
        <v>Várom a cikkszámot...</v>
      </c>
      <c r="C883" s="44"/>
      <c r="D883" s="40" t="str">
        <f>IFERROR(VLOOKUP(C883, Terméklista!I:J, 2, FALSE), "Várom a cikkszámot...")</f>
        <v>Várom a cikkszámot...</v>
      </c>
      <c r="E883" s="40"/>
      <c r="F883" s="40"/>
      <c r="G883" s="41"/>
    </row>
    <row r="884" spans="1:7" x14ac:dyDescent="0.3">
      <c r="A884" s="42"/>
      <c r="B884" s="40" t="str">
        <f>IFERROR(VLOOKUP(A884, Terméklista!I:J, 2, FALSE), "Várom a cikkszámot...")</f>
        <v>Várom a cikkszámot...</v>
      </c>
      <c r="C884" s="44"/>
      <c r="D884" s="40" t="str">
        <f>IFERROR(VLOOKUP(C884, Terméklista!I:J, 2, FALSE), "Várom a cikkszámot...")</f>
        <v>Várom a cikkszámot...</v>
      </c>
      <c r="E884" s="40"/>
      <c r="F884" s="40"/>
      <c r="G884" s="41"/>
    </row>
    <row r="885" spans="1:7" x14ac:dyDescent="0.3">
      <c r="A885" s="42"/>
      <c r="B885" s="40" t="str">
        <f>IFERROR(VLOOKUP(A885, Terméklista!I:J, 2, FALSE), "Várom a cikkszámot...")</f>
        <v>Várom a cikkszámot...</v>
      </c>
      <c r="C885" s="44"/>
      <c r="D885" s="40" t="str">
        <f>IFERROR(VLOOKUP(C885, Terméklista!I:J, 2, FALSE), "Várom a cikkszámot...")</f>
        <v>Várom a cikkszámot...</v>
      </c>
      <c r="E885" s="40"/>
      <c r="F885" s="40"/>
      <c r="G885" s="41"/>
    </row>
    <row r="886" spans="1:7" x14ac:dyDescent="0.3">
      <c r="A886" s="42"/>
      <c r="B886" s="40" t="str">
        <f>IFERROR(VLOOKUP(A886, Terméklista!I:J, 2, FALSE), "Várom a cikkszámot...")</f>
        <v>Várom a cikkszámot...</v>
      </c>
      <c r="C886" s="44"/>
      <c r="D886" s="40" t="str">
        <f>IFERROR(VLOOKUP(C886, Terméklista!I:J, 2, FALSE), "Várom a cikkszámot...")</f>
        <v>Várom a cikkszámot...</v>
      </c>
      <c r="E886" s="40"/>
      <c r="F886" s="40"/>
      <c r="G886" s="41"/>
    </row>
    <row r="887" spans="1:7" x14ac:dyDescent="0.3">
      <c r="A887" s="42"/>
      <c r="B887" s="40" t="str">
        <f>IFERROR(VLOOKUP(A887, Terméklista!I:J, 2, FALSE), "Várom a cikkszámot...")</f>
        <v>Várom a cikkszámot...</v>
      </c>
      <c r="C887" s="44"/>
      <c r="D887" s="40" t="str">
        <f>IFERROR(VLOOKUP(C887, Terméklista!I:J, 2, FALSE), "Várom a cikkszámot...")</f>
        <v>Várom a cikkszámot...</v>
      </c>
      <c r="E887" s="40"/>
      <c r="F887" s="40"/>
      <c r="G887" s="41"/>
    </row>
    <row r="888" spans="1:7" x14ac:dyDescent="0.3">
      <c r="A888" s="42"/>
      <c r="B888" s="40" t="str">
        <f>IFERROR(VLOOKUP(A888, Terméklista!I:J, 2, FALSE), "Várom a cikkszámot...")</f>
        <v>Várom a cikkszámot...</v>
      </c>
      <c r="C888" s="44"/>
      <c r="D888" s="40" t="str">
        <f>IFERROR(VLOOKUP(C888, Terméklista!I:J, 2, FALSE), "Várom a cikkszámot...")</f>
        <v>Várom a cikkszámot...</v>
      </c>
      <c r="E888" s="40"/>
      <c r="F888" s="40"/>
      <c r="G888" s="41"/>
    </row>
    <row r="889" spans="1:7" x14ac:dyDescent="0.3">
      <c r="A889" s="42"/>
      <c r="B889" s="40" t="str">
        <f>IFERROR(VLOOKUP(A889, Terméklista!I:J, 2, FALSE), "Várom a cikkszámot...")</f>
        <v>Várom a cikkszámot...</v>
      </c>
      <c r="C889" s="44"/>
      <c r="D889" s="40" t="str">
        <f>IFERROR(VLOOKUP(C889, Terméklista!I:J, 2, FALSE), "Várom a cikkszámot...")</f>
        <v>Várom a cikkszámot...</v>
      </c>
      <c r="E889" s="40"/>
      <c r="F889" s="40"/>
      <c r="G889" s="41"/>
    </row>
    <row r="890" spans="1:7" x14ac:dyDescent="0.3">
      <c r="A890" s="42"/>
      <c r="B890" s="40" t="str">
        <f>IFERROR(VLOOKUP(A890, Terméklista!I:J, 2, FALSE), "Várom a cikkszámot...")</f>
        <v>Várom a cikkszámot...</v>
      </c>
      <c r="C890" s="44"/>
      <c r="D890" s="40" t="str">
        <f>IFERROR(VLOOKUP(C890, Terméklista!I:J, 2, FALSE), "Várom a cikkszámot...")</f>
        <v>Várom a cikkszámot...</v>
      </c>
      <c r="E890" s="40"/>
      <c r="F890" s="40"/>
      <c r="G890" s="41"/>
    </row>
    <row r="891" spans="1:7" x14ac:dyDescent="0.3">
      <c r="A891" s="42"/>
      <c r="B891" s="40" t="str">
        <f>IFERROR(VLOOKUP(A891, Terméklista!I:J, 2, FALSE), "Várom a cikkszámot...")</f>
        <v>Várom a cikkszámot...</v>
      </c>
      <c r="C891" s="44"/>
      <c r="D891" s="40" t="str">
        <f>IFERROR(VLOOKUP(C891, Terméklista!I:J, 2, FALSE), "Várom a cikkszámot...")</f>
        <v>Várom a cikkszámot...</v>
      </c>
      <c r="E891" s="40"/>
      <c r="F891" s="40"/>
      <c r="G891" s="41"/>
    </row>
    <row r="892" spans="1:7" x14ac:dyDescent="0.3">
      <c r="A892" s="42"/>
      <c r="B892" s="40" t="str">
        <f>IFERROR(VLOOKUP(A892, Terméklista!I:J, 2, FALSE), "Várom a cikkszámot...")</f>
        <v>Várom a cikkszámot...</v>
      </c>
      <c r="C892" s="44"/>
      <c r="D892" s="40" t="str">
        <f>IFERROR(VLOOKUP(C892, Terméklista!I:J, 2, FALSE), "Várom a cikkszámot...")</f>
        <v>Várom a cikkszámot...</v>
      </c>
      <c r="E892" s="40"/>
      <c r="F892" s="40"/>
      <c r="G892" s="41"/>
    </row>
    <row r="893" spans="1:7" x14ac:dyDescent="0.3">
      <c r="A893" s="42"/>
      <c r="B893" s="40" t="str">
        <f>IFERROR(VLOOKUP(A893, Terméklista!I:J, 2, FALSE), "Várom a cikkszámot...")</f>
        <v>Várom a cikkszámot...</v>
      </c>
      <c r="C893" s="44"/>
      <c r="D893" s="40" t="str">
        <f>IFERROR(VLOOKUP(C893, Terméklista!I:J, 2, FALSE), "Várom a cikkszámot...")</f>
        <v>Várom a cikkszámot...</v>
      </c>
      <c r="E893" s="40"/>
      <c r="F893" s="40"/>
      <c r="G893" s="41"/>
    </row>
    <row r="894" spans="1:7" x14ac:dyDescent="0.3">
      <c r="A894" s="42"/>
      <c r="B894" s="40" t="str">
        <f>IFERROR(VLOOKUP(A894, Terméklista!I:J, 2, FALSE), "Várom a cikkszámot...")</f>
        <v>Várom a cikkszámot...</v>
      </c>
      <c r="C894" s="44"/>
      <c r="D894" s="40" t="str">
        <f>IFERROR(VLOOKUP(C894, Terméklista!I:J, 2, FALSE), "Várom a cikkszámot...")</f>
        <v>Várom a cikkszámot...</v>
      </c>
      <c r="E894" s="40"/>
      <c r="F894" s="40"/>
      <c r="G894" s="41"/>
    </row>
    <row r="895" spans="1:7" x14ac:dyDescent="0.3">
      <c r="A895" s="42"/>
      <c r="B895" s="40" t="str">
        <f>IFERROR(VLOOKUP(A895, Terméklista!I:J, 2, FALSE), "Várom a cikkszámot...")</f>
        <v>Várom a cikkszámot...</v>
      </c>
      <c r="C895" s="44"/>
      <c r="D895" s="40" t="str">
        <f>IFERROR(VLOOKUP(C895, Terméklista!I:J, 2, FALSE), "Várom a cikkszámot...")</f>
        <v>Várom a cikkszámot...</v>
      </c>
      <c r="E895" s="40"/>
      <c r="F895" s="40"/>
      <c r="G895" s="41"/>
    </row>
    <row r="896" spans="1:7" x14ac:dyDescent="0.3">
      <c r="A896" s="42"/>
      <c r="B896" s="40" t="str">
        <f>IFERROR(VLOOKUP(A896, Terméklista!I:J, 2, FALSE), "Várom a cikkszámot...")</f>
        <v>Várom a cikkszámot...</v>
      </c>
      <c r="C896" s="44"/>
      <c r="D896" s="40" t="str">
        <f>IFERROR(VLOOKUP(C896, Terméklista!I:J, 2, FALSE), "Várom a cikkszámot...")</f>
        <v>Várom a cikkszámot...</v>
      </c>
      <c r="E896" s="40"/>
      <c r="F896" s="40"/>
      <c r="G896" s="41"/>
    </row>
    <row r="897" spans="1:7" x14ac:dyDescent="0.3">
      <c r="A897" s="42"/>
      <c r="B897" s="40" t="str">
        <f>IFERROR(VLOOKUP(A897, Terméklista!I:J, 2, FALSE), "Várom a cikkszámot...")</f>
        <v>Várom a cikkszámot...</v>
      </c>
      <c r="C897" s="44"/>
      <c r="D897" s="40" t="str">
        <f>IFERROR(VLOOKUP(C897, Terméklista!I:J, 2, FALSE), "Várom a cikkszámot...")</f>
        <v>Várom a cikkszámot...</v>
      </c>
      <c r="E897" s="40"/>
      <c r="F897" s="40"/>
      <c r="G897" s="41"/>
    </row>
    <row r="898" spans="1:7" x14ac:dyDescent="0.3">
      <c r="A898" s="42"/>
      <c r="B898" s="40" t="str">
        <f>IFERROR(VLOOKUP(A898, Terméklista!I:J, 2, FALSE), "Várom a cikkszámot...")</f>
        <v>Várom a cikkszámot...</v>
      </c>
      <c r="C898" s="44"/>
      <c r="D898" s="40" t="str">
        <f>IFERROR(VLOOKUP(C898, Terméklista!I:J, 2, FALSE), "Várom a cikkszámot...")</f>
        <v>Várom a cikkszámot...</v>
      </c>
      <c r="E898" s="40"/>
      <c r="F898" s="40"/>
      <c r="G898" s="41"/>
    </row>
    <row r="899" spans="1:7" x14ac:dyDescent="0.3">
      <c r="A899" s="42"/>
      <c r="B899" s="40" t="str">
        <f>IFERROR(VLOOKUP(A899, Terméklista!I:J, 2, FALSE), "Várom a cikkszámot...")</f>
        <v>Várom a cikkszámot...</v>
      </c>
      <c r="C899" s="44"/>
      <c r="D899" s="40" t="str">
        <f>IFERROR(VLOOKUP(C899, Terméklista!I:J, 2, FALSE), "Várom a cikkszámot...")</f>
        <v>Várom a cikkszámot...</v>
      </c>
      <c r="E899" s="40"/>
      <c r="F899" s="40"/>
      <c r="G899" s="41"/>
    </row>
    <row r="900" spans="1:7" x14ac:dyDescent="0.3">
      <c r="A900" s="42"/>
      <c r="B900" s="40" t="str">
        <f>IFERROR(VLOOKUP(A900, Terméklista!I:J, 2, FALSE), "Várom a cikkszámot...")</f>
        <v>Várom a cikkszámot...</v>
      </c>
      <c r="C900" s="44"/>
      <c r="D900" s="40" t="str">
        <f>IFERROR(VLOOKUP(C900, Terméklista!I:J, 2, FALSE), "Várom a cikkszámot...")</f>
        <v>Várom a cikkszámot...</v>
      </c>
      <c r="E900" s="40"/>
      <c r="F900" s="40"/>
      <c r="G900" s="41"/>
    </row>
    <row r="901" spans="1:7" x14ac:dyDescent="0.3">
      <c r="A901" s="42"/>
      <c r="B901" s="40" t="str">
        <f>IFERROR(VLOOKUP(A901, Terméklista!I:J, 2, FALSE), "Várom a cikkszámot...")</f>
        <v>Várom a cikkszámot...</v>
      </c>
      <c r="C901" s="44"/>
      <c r="D901" s="40" t="str">
        <f>IFERROR(VLOOKUP(C901, Terméklista!I:J, 2, FALSE), "Várom a cikkszámot...")</f>
        <v>Várom a cikkszámot...</v>
      </c>
      <c r="E901" s="40"/>
      <c r="F901" s="40"/>
      <c r="G901" s="41"/>
    </row>
    <row r="902" spans="1:7" x14ac:dyDescent="0.3">
      <c r="A902" s="42"/>
      <c r="B902" s="40" t="str">
        <f>IFERROR(VLOOKUP(A902, Terméklista!I:J, 2, FALSE), "Várom a cikkszámot...")</f>
        <v>Várom a cikkszámot...</v>
      </c>
      <c r="C902" s="44"/>
      <c r="D902" s="40" t="str">
        <f>IFERROR(VLOOKUP(C902, Terméklista!I:J, 2, FALSE), "Várom a cikkszámot...")</f>
        <v>Várom a cikkszámot...</v>
      </c>
      <c r="E902" s="40"/>
      <c r="F902" s="40"/>
      <c r="G902" s="41"/>
    </row>
    <row r="903" spans="1:7" x14ac:dyDescent="0.3">
      <c r="A903" s="42"/>
      <c r="B903" s="40" t="str">
        <f>IFERROR(VLOOKUP(A903, Terméklista!I:J, 2, FALSE), "Várom a cikkszámot...")</f>
        <v>Várom a cikkszámot...</v>
      </c>
      <c r="C903" s="44"/>
      <c r="D903" s="40" t="str">
        <f>IFERROR(VLOOKUP(C903, Terméklista!I:J, 2, FALSE), "Várom a cikkszámot...")</f>
        <v>Várom a cikkszámot...</v>
      </c>
      <c r="E903" s="40"/>
      <c r="F903" s="40"/>
      <c r="G903" s="41"/>
    </row>
    <row r="904" spans="1:7" x14ac:dyDescent="0.3">
      <c r="A904" s="42"/>
      <c r="B904" s="40" t="str">
        <f>IFERROR(VLOOKUP(A904, Terméklista!I:J, 2, FALSE), "Várom a cikkszámot...")</f>
        <v>Várom a cikkszámot...</v>
      </c>
      <c r="C904" s="44"/>
      <c r="D904" s="40" t="str">
        <f>IFERROR(VLOOKUP(C904, Terméklista!I:J, 2, FALSE), "Várom a cikkszámot...")</f>
        <v>Várom a cikkszámot...</v>
      </c>
      <c r="E904" s="40"/>
      <c r="F904" s="40"/>
      <c r="G904" s="41"/>
    </row>
    <row r="905" spans="1:7" x14ac:dyDescent="0.3">
      <c r="A905" s="42"/>
      <c r="B905" s="40" t="str">
        <f>IFERROR(VLOOKUP(A905, Terméklista!I:J, 2, FALSE), "Várom a cikkszámot...")</f>
        <v>Várom a cikkszámot...</v>
      </c>
      <c r="C905" s="44"/>
      <c r="D905" s="40" t="str">
        <f>IFERROR(VLOOKUP(C905, Terméklista!I:J, 2, FALSE), "Várom a cikkszámot...")</f>
        <v>Várom a cikkszámot...</v>
      </c>
      <c r="E905" s="40"/>
      <c r="F905" s="40"/>
      <c r="G905" s="41"/>
    </row>
    <row r="906" spans="1:7" x14ac:dyDescent="0.3">
      <c r="A906" s="42"/>
      <c r="B906" s="40" t="str">
        <f>IFERROR(VLOOKUP(A906, Terméklista!I:J, 2, FALSE), "Várom a cikkszámot...")</f>
        <v>Várom a cikkszámot...</v>
      </c>
      <c r="C906" s="44"/>
      <c r="D906" s="40" t="str">
        <f>IFERROR(VLOOKUP(C906, Terméklista!I:J, 2, FALSE), "Várom a cikkszámot...")</f>
        <v>Várom a cikkszámot...</v>
      </c>
      <c r="E906" s="40"/>
      <c r="F906" s="40"/>
      <c r="G906" s="41"/>
    </row>
    <row r="907" spans="1:7" x14ac:dyDescent="0.3">
      <c r="A907" s="42"/>
      <c r="B907" s="40" t="str">
        <f>IFERROR(VLOOKUP(A907, Terméklista!I:J, 2, FALSE), "Várom a cikkszámot...")</f>
        <v>Várom a cikkszámot...</v>
      </c>
      <c r="C907" s="44"/>
      <c r="D907" s="40" t="str">
        <f>IFERROR(VLOOKUP(C907, Terméklista!I:J, 2, FALSE), "Várom a cikkszámot...")</f>
        <v>Várom a cikkszámot...</v>
      </c>
      <c r="E907" s="40"/>
      <c r="F907" s="40"/>
      <c r="G907" s="41"/>
    </row>
    <row r="908" spans="1:7" x14ac:dyDescent="0.3">
      <c r="A908" s="42"/>
      <c r="B908" s="40" t="str">
        <f>IFERROR(VLOOKUP(A908, Terméklista!I:J, 2, FALSE), "Várom a cikkszámot...")</f>
        <v>Várom a cikkszámot...</v>
      </c>
      <c r="C908" s="44"/>
      <c r="D908" s="40" t="str">
        <f>IFERROR(VLOOKUP(C908, Terméklista!I:J, 2, FALSE), "Várom a cikkszámot...")</f>
        <v>Várom a cikkszámot...</v>
      </c>
      <c r="E908" s="40"/>
      <c r="F908" s="40"/>
      <c r="G908" s="41"/>
    </row>
    <row r="909" spans="1:7" x14ac:dyDescent="0.3">
      <c r="A909" s="42"/>
      <c r="B909" s="40" t="str">
        <f>IFERROR(VLOOKUP(A909, Terméklista!I:J, 2, FALSE), "Várom a cikkszámot...")</f>
        <v>Várom a cikkszámot...</v>
      </c>
      <c r="C909" s="44"/>
      <c r="D909" s="40" t="str">
        <f>IFERROR(VLOOKUP(C909, Terméklista!I:J, 2, FALSE), "Várom a cikkszámot...")</f>
        <v>Várom a cikkszámot...</v>
      </c>
      <c r="E909" s="40"/>
      <c r="F909" s="40"/>
      <c r="G909" s="41"/>
    </row>
    <row r="910" spans="1:7" x14ac:dyDescent="0.3">
      <c r="A910" s="42"/>
      <c r="B910" s="40" t="str">
        <f>IFERROR(VLOOKUP(A910, Terméklista!I:J, 2, FALSE), "Várom a cikkszámot...")</f>
        <v>Várom a cikkszámot...</v>
      </c>
      <c r="C910" s="44"/>
      <c r="D910" s="40" t="str">
        <f>IFERROR(VLOOKUP(C910, Terméklista!I:J, 2, FALSE), "Várom a cikkszámot...")</f>
        <v>Várom a cikkszámot...</v>
      </c>
      <c r="E910" s="40"/>
      <c r="F910" s="40"/>
      <c r="G910" s="41"/>
    </row>
    <row r="911" spans="1:7" x14ac:dyDescent="0.3">
      <c r="A911" s="42"/>
      <c r="B911" s="40" t="str">
        <f>IFERROR(VLOOKUP(A911, Terméklista!I:J, 2, FALSE), "Várom a cikkszámot...")</f>
        <v>Várom a cikkszámot...</v>
      </c>
      <c r="C911" s="44"/>
      <c r="D911" s="40" t="str">
        <f>IFERROR(VLOOKUP(C911, Terméklista!I:J, 2, FALSE), "Várom a cikkszámot...")</f>
        <v>Várom a cikkszámot...</v>
      </c>
      <c r="E911" s="40"/>
      <c r="F911" s="40"/>
      <c r="G911" s="41"/>
    </row>
    <row r="912" spans="1:7" x14ac:dyDescent="0.3">
      <c r="A912" s="42"/>
      <c r="B912" s="40" t="str">
        <f>IFERROR(VLOOKUP(A912, Terméklista!I:J, 2, FALSE), "Várom a cikkszámot...")</f>
        <v>Várom a cikkszámot...</v>
      </c>
      <c r="C912" s="44"/>
      <c r="D912" s="40" t="str">
        <f>IFERROR(VLOOKUP(C912, Terméklista!I:J, 2, FALSE), "Várom a cikkszámot...")</f>
        <v>Várom a cikkszámot...</v>
      </c>
      <c r="E912" s="40"/>
      <c r="F912" s="40"/>
      <c r="G912" s="41"/>
    </row>
    <row r="913" spans="1:7" x14ac:dyDescent="0.3">
      <c r="A913" s="42"/>
      <c r="B913" s="40" t="str">
        <f>IFERROR(VLOOKUP(A913, Terméklista!I:J, 2, FALSE), "Várom a cikkszámot...")</f>
        <v>Várom a cikkszámot...</v>
      </c>
      <c r="C913" s="44"/>
      <c r="D913" s="40" t="str">
        <f>IFERROR(VLOOKUP(C913, Terméklista!I:J, 2, FALSE), "Várom a cikkszámot...")</f>
        <v>Várom a cikkszámot...</v>
      </c>
      <c r="E913" s="40"/>
      <c r="F913" s="40"/>
      <c r="G913" s="41"/>
    </row>
    <row r="914" spans="1:7" x14ac:dyDescent="0.3">
      <c r="A914" s="42"/>
      <c r="B914" s="40" t="str">
        <f>IFERROR(VLOOKUP(A914, Terméklista!I:J, 2, FALSE), "Várom a cikkszámot...")</f>
        <v>Várom a cikkszámot...</v>
      </c>
      <c r="C914" s="44"/>
      <c r="D914" s="40" t="str">
        <f>IFERROR(VLOOKUP(C914, Terméklista!I:J, 2, FALSE), "Várom a cikkszámot...")</f>
        <v>Várom a cikkszámot...</v>
      </c>
      <c r="E914" s="40"/>
      <c r="F914" s="40"/>
      <c r="G914" s="41"/>
    </row>
    <row r="915" spans="1:7" x14ac:dyDescent="0.3">
      <c r="A915" s="42"/>
      <c r="B915" s="40" t="str">
        <f>IFERROR(VLOOKUP(A915, Terméklista!I:J, 2, FALSE), "Várom a cikkszámot...")</f>
        <v>Várom a cikkszámot...</v>
      </c>
      <c r="C915" s="44"/>
      <c r="D915" s="40" t="str">
        <f>IFERROR(VLOOKUP(C915, Terméklista!I:J, 2, FALSE), "Várom a cikkszámot...")</f>
        <v>Várom a cikkszámot...</v>
      </c>
      <c r="E915" s="40"/>
      <c r="F915" s="40"/>
      <c r="G915" s="41"/>
    </row>
    <row r="916" spans="1:7" x14ac:dyDescent="0.3">
      <c r="A916" s="42"/>
      <c r="B916" s="40" t="str">
        <f>IFERROR(VLOOKUP(A916, Terméklista!I:J, 2, FALSE), "Várom a cikkszámot...")</f>
        <v>Várom a cikkszámot...</v>
      </c>
      <c r="C916" s="44"/>
      <c r="D916" s="40" t="str">
        <f>IFERROR(VLOOKUP(C916, Terméklista!I:J, 2, FALSE), "Várom a cikkszámot...")</f>
        <v>Várom a cikkszámot...</v>
      </c>
      <c r="E916" s="40"/>
      <c r="F916" s="40"/>
      <c r="G916" s="41"/>
    </row>
    <row r="917" spans="1:7" x14ac:dyDescent="0.3">
      <c r="A917" s="42"/>
      <c r="B917" s="40" t="str">
        <f>IFERROR(VLOOKUP(A917, Terméklista!I:J, 2, FALSE), "Várom a cikkszámot...")</f>
        <v>Várom a cikkszámot...</v>
      </c>
      <c r="C917" s="44"/>
      <c r="D917" s="40" t="str">
        <f>IFERROR(VLOOKUP(C917, Terméklista!I:J, 2, FALSE), "Várom a cikkszámot...")</f>
        <v>Várom a cikkszámot...</v>
      </c>
      <c r="E917" s="40"/>
      <c r="F917" s="40"/>
      <c r="G917" s="41"/>
    </row>
    <row r="918" spans="1:7" x14ac:dyDescent="0.3">
      <c r="A918" s="42"/>
      <c r="B918" s="40" t="str">
        <f>IFERROR(VLOOKUP(A918, Terméklista!I:J, 2, FALSE), "Várom a cikkszámot...")</f>
        <v>Várom a cikkszámot...</v>
      </c>
      <c r="C918" s="44"/>
      <c r="D918" s="40" t="str">
        <f>IFERROR(VLOOKUP(C918, Terméklista!I:J, 2, FALSE), "Várom a cikkszámot...")</f>
        <v>Várom a cikkszámot...</v>
      </c>
      <c r="E918" s="40"/>
      <c r="F918" s="40"/>
      <c r="G918" s="41"/>
    </row>
    <row r="919" spans="1:7" x14ac:dyDescent="0.3">
      <c r="A919" s="42"/>
      <c r="B919" s="40" t="str">
        <f>IFERROR(VLOOKUP(A919, Terméklista!I:J, 2, FALSE), "Várom a cikkszámot...")</f>
        <v>Várom a cikkszámot...</v>
      </c>
      <c r="C919" s="44"/>
      <c r="D919" s="40" t="str">
        <f>IFERROR(VLOOKUP(C919, Terméklista!I:J, 2, FALSE), "Várom a cikkszámot...")</f>
        <v>Várom a cikkszámot...</v>
      </c>
      <c r="E919" s="40"/>
      <c r="F919" s="40"/>
      <c r="G919" s="41"/>
    </row>
    <row r="920" spans="1:7" x14ac:dyDescent="0.3">
      <c r="A920" s="42"/>
      <c r="B920" s="40" t="str">
        <f>IFERROR(VLOOKUP(A920, Terméklista!I:J, 2, FALSE), "Várom a cikkszámot...")</f>
        <v>Várom a cikkszámot...</v>
      </c>
      <c r="C920" s="44"/>
      <c r="D920" s="40" t="str">
        <f>IFERROR(VLOOKUP(C920, Terméklista!I:J, 2, FALSE), "Várom a cikkszámot...")</f>
        <v>Várom a cikkszámot...</v>
      </c>
      <c r="E920" s="40"/>
      <c r="F920" s="40"/>
      <c r="G920" s="41"/>
    </row>
    <row r="921" spans="1:7" x14ac:dyDescent="0.3">
      <c r="A921" s="42"/>
      <c r="B921" s="40" t="str">
        <f>IFERROR(VLOOKUP(A921, Terméklista!I:J, 2, FALSE), "Várom a cikkszámot...")</f>
        <v>Várom a cikkszámot...</v>
      </c>
      <c r="C921" s="44"/>
      <c r="D921" s="40" t="str">
        <f>IFERROR(VLOOKUP(C921, Terméklista!I:J, 2, FALSE), "Várom a cikkszámot...")</f>
        <v>Várom a cikkszámot...</v>
      </c>
      <c r="E921" s="40"/>
      <c r="F921" s="40"/>
      <c r="G921" s="41"/>
    </row>
    <row r="922" spans="1:7" x14ac:dyDescent="0.3">
      <c r="A922" s="42"/>
      <c r="B922" s="40" t="str">
        <f>IFERROR(VLOOKUP(A922, Terméklista!I:J, 2, FALSE), "Várom a cikkszámot...")</f>
        <v>Várom a cikkszámot...</v>
      </c>
      <c r="C922" s="44"/>
      <c r="D922" s="40" t="str">
        <f>IFERROR(VLOOKUP(C922, Terméklista!I:J, 2, FALSE), "Várom a cikkszámot...")</f>
        <v>Várom a cikkszámot...</v>
      </c>
      <c r="E922" s="40"/>
      <c r="F922" s="40"/>
      <c r="G922" s="41"/>
    </row>
    <row r="923" spans="1:7" x14ac:dyDescent="0.3">
      <c r="A923" s="42"/>
      <c r="B923" s="40" t="str">
        <f>IFERROR(VLOOKUP(A923, Terméklista!I:J, 2, FALSE), "Várom a cikkszámot...")</f>
        <v>Várom a cikkszámot...</v>
      </c>
      <c r="C923" s="44"/>
      <c r="D923" s="40" t="str">
        <f>IFERROR(VLOOKUP(C923, Terméklista!I:J, 2, FALSE), "Várom a cikkszámot...")</f>
        <v>Várom a cikkszámot...</v>
      </c>
      <c r="E923" s="40"/>
      <c r="F923" s="40"/>
      <c r="G923" s="41"/>
    </row>
    <row r="924" spans="1:7" x14ac:dyDescent="0.3">
      <c r="A924" s="42"/>
      <c r="B924" s="40" t="str">
        <f>IFERROR(VLOOKUP(A924, Terméklista!I:J, 2, FALSE), "Várom a cikkszámot...")</f>
        <v>Várom a cikkszámot...</v>
      </c>
      <c r="C924" s="44"/>
      <c r="D924" s="40" t="str">
        <f>IFERROR(VLOOKUP(C924, Terméklista!I:J, 2, FALSE), "Várom a cikkszámot...")</f>
        <v>Várom a cikkszámot...</v>
      </c>
      <c r="E924" s="40"/>
      <c r="F924" s="40"/>
      <c r="G924" s="41"/>
    </row>
    <row r="925" spans="1:7" x14ac:dyDescent="0.3">
      <c r="A925" s="42"/>
      <c r="B925" s="40" t="str">
        <f>IFERROR(VLOOKUP(A925, Terméklista!I:J, 2, FALSE), "Várom a cikkszámot...")</f>
        <v>Várom a cikkszámot...</v>
      </c>
      <c r="C925" s="44"/>
      <c r="D925" s="40" t="str">
        <f>IFERROR(VLOOKUP(C925, Terméklista!I:J, 2, FALSE), "Várom a cikkszámot...")</f>
        <v>Várom a cikkszámot...</v>
      </c>
      <c r="E925" s="40"/>
      <c r="F925" s="40"/>
      <c r="G925" s="41"/>
    </row>
    <row r="926" spans="1:7" x14ac:dyDescent="0.3">
      <c r="A926" s="42"/>
      <c r="B926" s="40" t="str">
        <f>IFERROR(VLOOKUP(A926, Terméklista!I:J, 2, FALSE), "Várom a cikkszámot...")</f>
        <v>Várom a cikkszámot...</v>
      </c>
      <c r="C926" s="44"/>
      <c r="D926" s="40" t="str">
        <f>IFERROR(VLOOKUP(C926, Terméklista!I:J, 2, FALSE), "Várom a cikkszámot...")</f>
        <v>Várom a cikkszámot...</v>
      </c>
      <c r="E926" s="40"/>
      <c r="F926" s="40"/>
      <c r="G926" s="41"/>
    </row>
    <row r="927" spans="1:7" x14ac:dyDescent="0.3">
      <c r="A927" s="42"/>
      <c r="B927" s="40" t="str">
        <f>IFERROR(VLOOKUP(A927, Terméklista!I:J, 2, FALSE), "Várom a cikkszámot...")</f>
        <v>Várom a cikkszámot...</v>
      </c>
      <c r="C927" s="44"/>
      <c r="D927" s="40" t="str">
        <f>IFERROR(VLOOKUP(C927, Terméklista!I:J, 2, FALSE), "Várom a cikkszámot...")</f>
        <v>Várom a cikkszámot...</v>
      </c>
      <c r="E927" s="40"/>
      <c r="F927" s="40"/>
      <c r="G927" s="41"/>
    </row>
    <row r="928" spans="1:7" x14ac:dyDescent="0.3">
      <c r="A928" s="42"/>
      <c r="B928" s="40" t="str">
        <f>IFERROR(VLOOKUP(A928, Terméklista!I:J, 2, FALSE), "Várom a cikkszámot...")</f>
        <v>Várom a cikkszámot...</v>
      </c>
      <c r="C928" s="44"/>
      <c r="D928" s="40" t="str">
        <f>IFERROR(VLOOKUP(C928, Terméklista!I:J, 2, FALSE), "Várom a cikkszámot...")</f>
        <v>Várom a cikkszámot...</v>
      </c>
      <c r="E928" s="40"/>
      <c r="F928" s="40"/>
      <c r="G928" s="41"/>
    </row>
    <row r="929" spans="1:7" x14ac:dyDescent="0.3">
      <c r="A929" s="42"/>
      <c r="B929" s="40" t="str">
        <f>IFERROR(VLOOKUP(A929, Terméklista!I:J, 2, FALSE), "Várom a cikkszámot...")</f>
        <v>Várom a cikkszámot...</v>
      </c>
      <c r="C929" s="44"/>
      <c r="D929" s="40" t="str">
        <f>IFERROR(VLOOKUP(C929, Terméklista!I:J, 2, FALSE), "Várom a cikkszámot...")</f>
        <v>Várom a cikkszámot...</v>
      </c>
      <c r="E929" s="40"/>
      <c r="F929" s="40"/>
      <c r="G929" s="41"/>
    </row>
    <row r="930" spans="1:7" x14ac:dyDescent="0.3">
      <c r="A930" s="42"/>
      <c r="B930" s="40" t="str">
        <f>IFERROR(VLOOKUP(A930, Terméklista!I:J, 2, FALSE), "Várom a cikkszámot...")</f>
        <v>Várom a cikkszámot...</v>
      </c>
      <c r="C930" s="44"/>
      <c r="D930" s="40" t="str">
        <f>IFERROR(VLOOKUP(C930, Terméklista!I:J, 2, FALSE), "Várom a cikkszámot...")</f>
        <v>Várom a cikkszámot...</v>
      </c>
      <c r="E930" s="40"/>
      <c r="F930" s="40"/>
      <c r="G930" s="41"/>
    </row>
    <row r="931" spans="1:7" x14ac:dyDescent="0.3">
      <c r="A931" s="42"/>
      <c r="B931" s="40" t="str">
        <f>IFERROR(VLOOKUP(A931, Terméklista!I:J, 2, FALSE), "Várom a cikkszámot...")</f>
        <v>Várom a cikkszámot...</v>
      </c>
      <c r="C931" s="44"/>
      <c r="D931" s="40" t="str">
        <f>IFERROR(VLOOKUP(C931, Terméklista!I:J, 2, FALSE), "Várom a cikkszámot...")</f>
        <v>Várom a cikkszámot...</v>
      </c>
      <c r="E931" s="40"/>
      <c r="F931" s="40"/>
      <c r="G931" s="41"/>
    </row>
    <row r="932" spans="1:7" x14ac:dyDescent="0.3">
      <c r="A932" s="42"/>
      <c r="B932" s="40" t="str">
        <f>IFERROR(VLOOKUP(A932, Terméklista!I:J, 2, FALSE), "Várom a cikkszámot...")</f>
        <v>Várom a cikkszámot...</v>
      </c>
      <c r="C932" s="44"/>
      <c r="D932" s="40" t="str">
        <f>IFERROR(VLOOKUP(C932, Terméklista!I:J, 2, FALSE), "Várom a cikkszámot...")</f>
        <v>Várom a cikkszámot...</v>
      </c>
      <c r="E932" s="40"/>
      <c r="F932" s="40"/>
      <c r="G932" s="41"/>
    </row>
    <row r="933" spans="1:7" x14ac:dyDescent="0.3">
      <c r="A933" s="42"/>
      <c r="B933" s="40" t="str">
        <f>IFERROR(VLOOKUP(A933, Terméklista!I:J, 2, FALSE), "Várom a cikkszámot...")</f>
        <v>Várom a cikkszámot...</v>
      </c>
      <c r="C933" s="44"/>
      <c r="D933" s="40" t="str">
        <f>IFERROR(VLOOKUP(C933, Terméklista!I:J, 2, FALSE), "Várom a cikkszámot...")</f>
        <v>Várom a cikkszámot...</v>
      </c>
      <c r="E933" s="40"/>
      <c r="F933" s="40"/>
      <c r="G933" s="41"/>
    </row>
    <row r="934" spans="1:7" x14ac:dyDescent="0.3">
      <c r="A934" s="42"/>
      <c r="B934" s="40" t="str">
        <f>IFERROR(VLOOKUP(A934, Terméklista!I:J, 2, FALSE), "Várom a cikkszámot...")</f>
        <v>Várom a cikkszámot...</v>
      </c>
      <c r="C934" s="44"/>
      <c r="D934" s="40" t="str">
        <f>IFERROR(VLOOKUP(C934, Terméklista!I:J, 2, FALSE), "Várom a cikkszámot...")</f>
        <v>Várom a cikkszámot...</v>
      </c>
      <c r="E934" s="40"/>
      <c r="F934" s="40"/>
      <c r="G934" s="41"/>
    </row>
    <row r="935" spans="1:7" x14ac:dyDescent="0.3">
      <c r="A935" s="42"/>
      <c r="B935" s="40" t="str">
        <f>IFERROR(VLOOKUP(A935, Terméklista!I:J, 2, FALSE), "Várom a cikkszámot...")</f>
        <v>Várom a cikkszámot...</v>
      </c>
      <c r="C935" s="44"/>
      <c r="D935" s="40" t="str">
        <f>IFERROR(VLOOKUP(C935, Terméklista!I:J, 2, FALSE), "Várom a cikkszámot...")</f>
        <v>Várom a cikkszámot...</v>
      </c>
      <c r="E935" s="40"/>
      <c r="F935" s="40"/>
      <c r="G935" s="41"/>
    </row>
    <row r="936" spans="1:7" x14ac:dyDescent="0.3">
      <c r="A936" s="42"/>
      <c r="B936" s="40" t="str">
        <f>IFERROR(VLOOKUP(A936, Terméklista!I:J, 2, FALSE), "Várom a cikkszámot...")</f>
        <v>Várom a cikkszámot...</v>
      </c>
      <c r="C936" s="44"/>
      <c r="D936" s="40" t="str">
        <f>IFERROR(VLOOKUP(C936, Terméklista!I:J, 2, FALSE), "Várom a cikkszámot...")</f>
        <v>Várom a cikkszámot...</v>
      </c>
      <c r="E936" s="40"/>
      <c r="F936" s="40"/>
      <c r="G936" s="41"/>
    </row>
    <row r="937" spans="1:7" x14ac:dyDescent="0.3">
      <c r="A937" s="42"/>
      <c r="B937" s="40" t="str">
        <f>IFERROR(VLOOKUP(A937, Terméklista!I:J, 2, FALSE), "Várom a cikkszámot...")</f>
        <v>Várom a cikkszámot...</v>
      </c>
      <c r="C937" s="44"/>
      <c r="D937" s="40" t="str">
        <f>IFERROR(VLOOKUP(C937, Terméklista!I:J, 2, FALSE), "Várom a cikkszámot...")</f>
        <v>Várom a cikkszámot...</v>
      </c>
      <c r="E937" s="40"/>
      <c r="F937" s="40"/>
      <c r="G937" s="41"/>
    </row>
    <row r="938" spans="1:7" x14ac:dyDescent="0.3">
      <c r="A938" s="42"/>
      <c r="B938" s="40" t="str">
        <f>IFERROR(VLOOKUP(A938, Terméklista!I:J, 2, FALSE), "Várom a cikkszámot...")</f>
        <v>Várom a cikkszámot...</v>
      </c>
      <c r="C938" s="44"/>
      <c r="D938" s="40" t="str">
        <f>IFERROR(VLOOKUP(C938, Terméklista!I:J, 2, FALSE), "Várom a cikkszámot...")</f>
        <v>Várom a cikkszámot...</v>
      </c>
      <c r="E938" s="40"/>
      <c r="F938" s="40"/>
      <c r="G938" s="41"/>
    </row>
    <row r="939" spans="1:7" x14ac:dyDescent="0.3">
      <c r="A939" s="42"/>
      <c r="B939" s="40" t="str">
        <f>IFERROR(VLOOKUP(A939, Terméklista!I:J, 2, FALSE), "Várom a cikkszámot...")</f>
        <v>Várom a cikkszámot...</v>
      </c>
      <c r="C939" s="44"/>
      <c r="D939" s="40" t="str">
        <f>IFERROR(VLOOKUP(C939, Terméklista!I:J, 2, FALSE), "Várom a cikkszámot...")</f>
        <v>Várom a cikkszámot...</v>
      </c>
      <c r="E939" s="40"/>
      <c r="F939" s="40"/>
      <c r="G939" s="41"/>
    </row>
    <row r="940" spans="1:7" x14ac:dyDescent="0.3">
      <c r="A940" s="42"/>
      <c r="B940" s="40" t="str">
        <f>IFERROR(VLOOKUP(A940, Terméklista!I:J, 2, FALSE), "Várom a cikkszámot...")</f>
        <v>Várom a cikkszámot...</v>
      </c>
      <c r="C940" s="44"/>
      <c r="D940" s="40" t="str">
        <f>IFERROR(VLOOKUP(C940, Terméklista!I:J, 2, FALSE), "Várom a cikkszámot...")</f>
        <v>Várom a cikkszámot...</v>
      </c>
      <c r="E940" s="40"/>
      <c r="F940" s="40"/>
      <c r="G940" s="41"/>
    </row>
    <row r="941" spans="1:7" x14ac:dyDescent="0.3">
      <c r="A941" s="42"/>
      <c r="B941" s="40" t="str">
        <f>IFERROR(VLOOKUP(A941, Terméklista!I:J, 2, FALSE), "Várom a cikkszámot...")</f>
        <v>Várom a cikkszámot...</v>
      </c>
      <c r="C941" s="44"/>
      <c r="D941" s="40" t="str">
        <f>IFERROR(VLOOKUP(C941, Terméklista!I:J, 2, FALSE), "Várom a cikkszámot...")</f>
        <v>Várom a cikkszámot...</v>
      </c>
      <c r="E941" s="40"/>
      <c r="F941" s="40"/>
      <c r="G941" s="41"/>
    </row>
    <row r="942" spans="1:7" x14ac:dyDescent="0.3">
      <c r="A942" s="42"/>
      <c r="B942" s="40" t="str">
        <f>IFERROR(VLOOKUP(A942, Terméklista!I:J, 2, FALSE), "Várom a cikkszámot...")</f>
        <v>Várom a cikkszámot...</v>
      </c>
      <c r="C942" s="44"/>
      <c r="D942" s="40" t="str">
        <f>IFERROR(VLOOKUP(C942, Terméklista!I:J, 2, FALSE), "Várom a cikkszámot...")</f>
        <v>Várom a cikkszámot...</v>
      </c>
      <c r="E942" s="40"/>
      <c r="F942" s="40"/>
      <c r="G942" s="41"/>
    </row>
    <row r="943" spans="1:7" x14ac:dyDescent="0.3">
      <c r="A943" s="42"/>
      <c r="B943" s="40" t="str">
        <f>IFERROR(VLOOKUP(A943, Terméklista!I:J, 2, FALSE), "Várom a cikkszámot...")</f>
        <v>Várom a cikkszámot...</v>
      </c>
      <c r="C943" s="44"/>
      <c r="D943" s="40" t="str">
        <f>IFERROR(VLOOKUP(C943, Terméklista!I:J, 2, FALSE), "Várom a cikkszámot...")</f>
        <v>Várom a cikkszámot...</v>
      </c>
      <c r="E943" s="40"/>
      <c r="F943" s="40"/>
      <c r="G943" s="41"/>
    </row>
    <row r="944" spans="1:7" x14ac:dyDescent="0.3">
      <c r="A944" s="42"/>
      <c r="B944" s="40" t="str">
        <f>IFERROR(VLOOKUP(A944, Terméklista!I:J, 2, FALSE), "Várom a cikkszámot...")</f>
        <v>Várom a cikkszámot...</v>
      </c>
      <c r="C944" s="44"/>
      <c r="D944" s="40" t="str">
        <f>IFERROR(VLOOKUP(C944, Terméklista!I:J, 2, FALSE), "Várom a cikkszámot...")</f>
        <v>Várom a cikkszámot...</v>
      </c>
      <c r="E944" s="40"/>
      <c r="F944" s="40"/>
      <c r="G944" s="41"/>
    </row>
    <row r="945" spans="1:7" x14ac:dyDescent="0.3">
      <c r="A945" s="42"/>
      <c r="B945" s="40" t="str">
        <f>IFERROR(VLOOKUP(A945, Terméklista!I:J, 2, FALSE), "Várom a cikkszámot...")</f>
        <v>Várom a cikkszámot...</v>
      </c>
      <c r="C945" s="44"/>
      <c r="D945" s="40" t="str">
        <f>IFERROR(VLOOKUP(C945, Terméklista!I:J, 2, FALSE), "Várom a cikkszámot...")</f>
        <v>Várom a cikkszámot...</v>
      </c>
      <c r="E945" s="40"/>
      <c r="F945" s="40"/>
      <c r="G945" s="41"/>
    </row>
    <row r="946" spans="1:7" x14ac:dyDescent="0.3">
      <c r="A946" s="42"/>
      <c r="B946" s="40" t="str">
        <f>IFERROR(VLOOKUP(A946, Terméklista!I:J, 2, FALSE), "Várom a cikkszámot...")</f>
        <v>Várom a cikkszámot...</v>
      </c>
      <c r="C946" s="44"/>
      <c r="D946" s="40" t="str">
        <f>IFERROR(VLOOKUP(C946, Terméklista!I:J, 2, FALSE), "Várom a cikkszámot...")</f>
        <v>Várom a cikkszámot...</v>
      </c>
      <c r="E946" s="40"/>
      <c r="F946" s="40"/>
      <c r="G946" s="41"/>
    </row>
    <row r="947" spans="1:7" x14ac:dyDescent="0.3">
      <c r="A947" s="42"/>
      <c r="B947" s="40" t="str">
        <f>IFERROR(VLOOKUP(A947, Terméklista!I:J, 2, FALSE), "Várom a cikkszámot...")</f>
        <v>Várom a cikkszámot...</v>
      </c>
      <c r="C947" s="44"/>
      <c r="D947" s="40" t="str">
        <f>IFERROR(VLOOKUP(C947, Terméklista!I:J, 2, FALSE), "Várom a cikkszámot...")</f>
        <v>Várom a cikkszámot...</v>
      </c>
      <c r="E947" s="40"/>
      <c r="F947" s="40"/>
      <c r="G947" s="41"/>
    </row>
    <row r="948" spans="1:7" x14ac:dyDescent="0.3">
      <c r="A948" s="42"/>
      <c r="B948" s="40" t="str">
        <f>IFERROR(VLOOKUP(A948, Terméklista!I:J, 2, FALSE), "Várom a cikkszámot...")</f>
        <v>Várom a cikkszámot...</v>
      </c>
      <c r="C948" s="44"/>
      <c r="D948" s="40" t="str">
        <f>IFERROR(VLOOKUP(C948, Terméklista!I:J, 2, FALSE), "Várom a cikkszámot...")</f>
        <v>Várom a cikkszámot...</v>
      </c>
      <c r="E948" s="40"/>
      <c r="F948" s="40"/>
      <c r="G948" s="41"/>
    </row>
    <row r="949" spans="1:7" x14ac:dyDescent="0.3">
      <c r="A949" s="42"/>
      <c r="B949" s="40" t="str">
        <f>IFERROR(VLOOKUP(A949, Terméklista!I:J, 2, FALSE), "Várom a cikkszámot...")</f>
        <v>Várom a cikkszámot...</v>
      </c>
      <c r="C949" s="44"/>
      <c r="D949" s="40" t="str">
        <f>IFERROR(VLOOKUP(C949, Terméklista!I:J, 2, FALSE), "Várom a cikkszámot...")</f>
        <v>Várom a cikkszámot...</v>
      </c>
      <c r="E949" s="40"/>
      <c r="F949" s="40"/>
      <c r="G949" s="41"/>
    </row>
    <row r="950" spans="1:7" x14ac:dyDescent="0.3">
      <c r="A950" s="42"/>
      <c r="B950" s="40" t="str">
        <f>IFERROR(VLOOKUP(A950, Terméklista!I:J, 2, FALSE), "Várom a cikkszámot...")</f>
        <v>Várom a cikkszámot...</v>
      </c>
      <c r="C950" s="44"/>
      <c r="D950" s="40" t="str">
        <f>IFERROR(VLOOKUP(C950, Terméklista!I:J, 2, FALSE), "Várom a cikkszámot...")</f>
        <v>Várom a cikkszámot...</v>
      </c>
      <c r="E950" s="40"/>
      <c r="F950" s="40"/>
      <c r="G950" s="41"/>
    </row>
    <row r="951" spans="1:7" x14ac:dyDescent="0.3">
      <c r="A951" s="42"/>
      <c r="B951" s="40" t="str">
        <f>IFERROR(VLOOKUP(A951, Terméklista!I:J, 2, FALSE), "Várom a cikkszámot...")</f>
        <v>Várom a cikkszámot...</v>
      </c>
      <c r="C951" s="44"/>
      <c r="D951" s="40" t="str">
        <f>IFERROR(VLOOKUP(C951, Terméklista!I:J, 2, FALSE), "Várom a cikkszámot...")</f>
        <v>Várom a cikkszámot...</v>
      </c>
      <c r="E951" s="40"/>
      <c r="F951" s="40"/>
      <c r="G951" s="41"/>
    </row>
    <row r="952" spans="1:7" x14ac:dyDescent="0.3">
      <c r="A952" s="42"/>
      <c r="B952" s="40" t="str">
        <f>IFERROR(VLOOKUP(A952, Terméklista!I:J, 2, FALSE), "Várom a cikkszámot...")</f>
        <v>Várom a cikkszámot...</v>
      </c>
      <c r="C952" s="44"/>
      <c r="D952" s="40" t="str">
        <f>IFERROR(VLOOKUP(C952, Terméklista!I:J, 2, FALSE), "Várom a cikkszámot...")</f>
        <v>Várom a cikkszámot...</v>
      </c>
      <c r="E952" s="40"/>
      <c r="F952" s="40"/>
      <c r="G952" s="41"/>
    </row>
    <row r="953" spans="1:7" x14ac:dyDescent="0.3">
      <c r="A953" s="42"/>
      <c r="B953" s="40" t="str">
        <f>IFERROR(VLOOKUP(A953, Terméklista!I:J, 2, FALSE), "Várom a cikkszámot...")</f>
        <v>Várom a cikkszámot...</v>
      </c>
      <c r="C953" s="44"/>
      <c r="D953" s="40" t="str">
        <f>IFERROR(VLOOKUP(C953, Terméklista!I:J, 2, FALSE), "Várom a cikkszámot...")</f>
        <v>Várom a cikkszámot...</v>
      </c>
      <c r="E953" s="40"/>
      <c r="F953" s="40"/>
      <c r="G953" s="41"/>
    </row>
    <row r="954" spans="1:7" x14ac:dyDescent="0.3">
      <c r="A954" s="42"/>
      <c r="B954" s="40" t="str">
        <f>IFERROR(VLOOKUP(A954, Terméklista!I:J, 2, FALSE), "Várom a cikkszámot...")</f>
        <v>Várom a cikkszámot...</v>
      </c>
      <c r="C954" s="44"/>
      <c r="D954" s="40" t="str">
        <f>IFERROR(VLOOKUP(C954, Terméklista!I:J, 2, FALSE), "Várom a cikkszámot...")</f>
        <v>Várom a cikkszámot...</v>
      </c>
      <c r="E954" s="40"/>
      <c r="F954" s="40"/>
      <c r="G954" s="41"/>
    </row>
    <row r="955" spans="1:7" x14ac:dyDescent="0.3">
      <c r="A955" s="42"/>
      <c r="B955" s="40" t="str">
        <f>IFERROR(VLOOKUP(A955, Terméklista!I:J, 2, FALSE), "Várom a cikkszámot...")</f>
        <v>Várom a cikkszámot...</v>
      </c>
      <c r="C955" s="44"/>
      <c r="D955" s="40" t="str">
        <f>IFERROR(VLOOKUP(C955, Terméklista!I:J, 2, FALSE), "Várom a cikkszámot...")</f>
        <v>Várom a cikkszámot...</v>
      </c>
      <c r="E955" s="40"/>
      <c r="F955" s="40"/>
      <c r="G955" s="41"/>
    </row>
    <row r="956" spans="1:7" x14ac:dyDescent="0.3">
      <c r="A956" s="42"/>
      <c r="B956" s="40" t="str">
        <f>IFERROR(VLOOKUP(A956, Terméklista!I:J, 2, FALSE), "Várom a cikkszámot...")</f>
        <v>Várom a cikkszámot...</v>
      </c>
      <c r="C956" s="44"/>
      <c r="D956" s="40" t="str">
        <f>IFERROR(VLOOKUP(C956, Terméklista!I:J, 2, FALSE), "Várom a cikkszámot...")</f>
        <v>Várom a cikkszámot...</v>
      </c>
      <c r="E956" s="40"/>
      <c r="F956" s="40"/>
      <c r="G956" s="41"/>
    </row>
    <row r="957" spans="1:7" x14ac:dyDescent="0.3">
      <c r="A957" s="42"/>
      <c r="B957" s="40" t="str">
        <f>IFERROR(VLOOKUP(A957, Terméklista!I:J, 2, FALSE), "Várom a cikkszámot...")</f>
        <v>Várom a cikkszámot...</v>
      </c>
      <c r="C957" s="44"/>
      <c r="D957" s="40" t="str">
        <f>IFERROR(VLOOKUP(C957, Terméklista!I:J, 2, FALSE), "Várom a cikkszámot...")</f>
        <v>Várom a cikkszámot...</v>
      </c>
      <c r="E957" s="40"/>
      <c r="F957" s="40"/>
      <c r="G957" s="41"/>
    </row>
    <row r="958" spans="1:7" x14ac:dyDescent="0.3">
      <c r="A958" s="42"/>
      <c r="B958" s="40" t="str">
        <f>IFERROR(VLOOKUP(A958, Terméklista!I:J, 2, FALSE), "Várom a cikkszámot...")</f>
        <v>Várom a cikkszámot...</v>
      </c>
      <c r="C958" s="44"/>
      <c r="D958" s="40" t="str">
        <f>IFERROR(VLOOKUP(C958, Terméklista!I:J, 2, FALSE), "Várom a cikkszámot...")</f>
        <v>Várom a cikkszámot...</v>
      </c>
      <c r="E958" s="40"/>
      <c r="F958" s="40"/>
      <c r="G958" s="41"/>
    </row>
    <row r="959" spans="1:7" x14ac:dyDescent="0.3">
      <c r="A959" s="42"/>
      <c r="B959" s="40" t="str">
        <f>IFERROR(VLOOKUP(A959, Terméklista!I:J, 2, FALSE), "Várom a cikkszámot...")</f>
        <v>Várom a cikkszámot...</v>
      </c>
      <c r="C959" s="44"/>
      <c r="D959" s="40" t="str">
        <f>IFERROR(VLOOKUP(C959, Terméklista!I:J, 2, FALSE), "Várom a cikkszámot...")</f>
        <v>Várom a cikkszámot...</v>
      </c>
      <c r="E959" s="40"/>
      <c r="F959" s="40"/>
      <c r="G959" s="41"/>
    </row>
    <row r="960" spans="1:7" x14ac:dyDescent="0.3">
      <c r="A960" s="42"/>
      <c r="B960" s="40" t="str">
        <f>IFERROR(VLOOKUP(A960, Terméklista!I:J, 2, FALSE), "Várom a cikkszámot...")</f>
        <v>Várom a cikkszámot...</v>
      </c>
      <c r="C960" s="44"/>
      <c r="D960" s="40" t="str">
        <f>IFERROR(VLOOKUP(C960, Terméklista!I:J, 2, FALSE), "Várom a cikkszámot...")</f>
        <v>Várom a cikkszámot...</v>
      </c>
      <c r="E960" s="40"/>
      <c r="F960" s="40"/>
      <c r="G960" s="41"/>
    </row>
    <row r="961" spans="1:7" x14ac:dyDescent="0.3">
      <c r="A961" s="42"/>
      <c r="B961" s="40" t="str">
        <f>IFERROR(VLOOKUP(A961, Terméklista!I:J, 2, FALSE), "Várom a cikkszámot...")</f>
        <v>Várom a cikkszámot...</v>
      </c>
      <c r="C961" s="44"/>
      <c r="D961" s="40" t="str">
        <f>IFERROR(VLOOKUP(C961, Terméklista!I:J, 2, FALSE), "Várom a cikkszámot...")</f>
        <v>Várom a cikkszámot...</v>
      </c>
      <c r="E961" s="40"/>
      <c r="F961" s="40"/>
      <c r="G961" s="41"/>
    </row>
    <row r="962" spans="1:7" x14ac:dyDescent="0.3">
      <c r="A962" s="42"/>
      <c r="B962" s="40" t="str">
        <f>IFERROR(VLOOKUP(A962, Terméklista!I:J, 2, FALSE), "Várom a cikkszámot...")</f>
        <v>Várom a cikkszámot...</v>
      </c>
      <c r="C962" s="44"/>
      <c r="D962" s="40" t="str">
        <f>IFERROR(VLOOKUP(C962, Terméklista!I:J, 2, FALSE), "Várom a cikkszámot...")</f>
        <v>Várom a cikkszámot...</v>
      </c>
      <c r="E962" s="40"/>
      <c r="F962" s="40"/>
      <c r="G962" s="41"/>
    </row>
    <row r="963" spans="1:7" x14ac:dyDescent="0.3">
      <c r="A963" s="42"/>
      <c r="B963" s="40" t="str">
        <f>IFERROR(VLOOKUP(A963, Terméklista!I:J, 2, FALSE), "Várom a cikkszámot...")</f>
        <v>Várom a cikkszámot...</v>
      </c>
      <c r="C963" s="44"/>
      <c r="D963" s="40" t="str">
        <f>IFERROR(VLOOKUP(C963, Terméklista!I:J, 2, FALSE), "Várom a cikkszámot...")</f>
        <v>Várom a cikkszámot...</v>
      </c>
      <c r="E963" s="40"/>
      <c r="F963" s="40"/>
      <c r="G963" s="41"/>
    </row>
    <row r="964" spans="1:7" x14ac:dyDescent="0.3">
      <c r="A964" s="42"/>
      <c r="B964" s="40" t="str">
        <f>IFERROR(VLOOKUP(A964, Terméklista!I:J, 2, FALSE), "Várom a cikkszámot...")</f>
        <v>Várom a cikkszámot...</v>
      </c>
      <c r="C964" s="44"/>
      <c r="D964" s="40" t="str">
        <f>IFERROR(VLOOKUP(C964, Terméklista!I:J, 2, FALSE), "Várom a cikkszámot...")</f>
        <v>Várom a cikkszámot...</v>
      </c>
      <c r="E964" s="40"/>
      <c r="F964" s="40"/>
      <c r="G964" s="41"/>
    </row>
    <row r="965" spans="1:7" x14ac:dyDescent="0.3">
      <c r="A965" s="42"/>
      <c r="B965" s="40" t="str">
        <f>IFERROR(VLOOKUP(A965, Terméklista!I:J, 2, FALSE), "Várom a cikkszámot...")</f>
        <v>Várom a cikkszámot...</v>
      </c>
      <c r="C965" s="44"/>
      <c r="D965" s="40" t="str">
        <f>IFERROR(VLOOKUP(C965, Terméklista!I:J, 2, FALSE), "Várom a cikkszámot...")</f>
        <v>Várom a cikkszámot...</v>
      </c>
      <c r="E965" s="40"/>
      <c r="F965" s="40"/>
      <c r="G965" s="41"/>
    </row>
    <row r="966" spans="1:7" x14ac:dyDescent="0.3">
      <c r="A966" s="42"/>
      <c r="B966" s="40" t="str">
        <f>IFERROR(VLOOKUP(A966, Terméklista!I:J, 2, FALSE), "Várom a cikkszámot...")</f>
        <v>Várom a cikkszámot...</v>
      </c>
      <c r="C966" s="44"/>
      <c r="D966" s="40" t="str">
        <f>IFERROR(VLOOKUP(C966, Terméklista!I:J, 2, FALSE), "Várom a cikkszámot...")</f>
        <v>Várom a cikkszámot...</v>
      </c>
      <c r="E966" s="40"/>
      <c r="F966" s="40"/>
      <c r="G966" s="41"/>
    </row>
    <row r="967" spans="1:7" x14ac:dyDescent="0.3">
      <c r="A967" s="42"/>
      <c r="B967" s="40" t="str">
        <f>IFERROR(VLOOKUP(A967, Terméklista!I:J, 2, FALSE), "Várom a cikkszámot...")</f>
        <v>Várom a cikkszámot...</v>
      </c>
      <c r="C967" s="44"/>
      <c r="D967" s="40" t="str">
        <f>IFERROR(VLOOKUP(C967, Terméklista!I:J, 2, FALSE), "Várom a cikkszámot...")</f>
        <v>Várom a cikkszámot...</v>
      </c>
      <c r="E967" s="40"/>
      <c r="F967" s="40"/>
      <c r="G967" s="41"/>
    </row>
    <row r="968" spans="1:7" x14ac:dyDescent="0.3">
      <c r="A968" s="42"/>
      <c r="B968" s="40" t="str">
        <f>IFERROR(VLOOKUP(A968, Terméklista!I:J, 2, FALSE), "Várom a cikkszámot...")</f>
        <v>Várom a cikkszámot...</v>
      </c>
      <c r="C968" s="44"/>
      <c r="D968" s="40" t="str">
        <f>IFERROR(VLOOKUP(C968, Terméklista!I:J, 2, FALSE), "Várom a cikkszámot...")</f>
        <v>Várom a cikkszámot...</v>
      </c>
      <c r="E968" s="40"/>
      <c r="F968" s="40"/>
      <c r="G968" s="41"/>
    </row>
    <row r="969" spans="1:7" x14ac:dyDescent="0.3">
      <c r="A969" s="42"/>
      <c r="B969" s="40" t="str">
        <f>IFERROR(VLOOKUP(A969, Terméklista!I:J, 2, FALSE), "Várom a cikkszámot...")</f>
        <v>Várom a cikkszámot...</v>
      </c>
      <c r="C969" s="44"/>
      <c r="D969" s="40" t="str">
        <f>IFERROR(VLOOKUP(C969, Terméklista!I:J, 2, FALSE), "Várom a cikkszámot...")</f>
        <v>Várom a cikkszámot...</v>
      </c>
      <c r="E969" s="40"/>
      <c r="F969" s="40"/>
      <c r="G969" s="41"/>
    </row>
    <row r="970" spans="1:7" x14ac:dyDescent="0.3">
      <c r="A970" s="42"/>
      <c r="B970" s="40" t="str">
        <f>IFERROR(VLOOKUP(A970, Terméklista!I:J, 2, FALSE), "Várom a cikkszámot...")</f>
        <v>Várom a cikkszámot...</v>
      </c>
      <c r="C970" s="44"/>
      <c r="D970" s="40" t="str">
        <f>IFERROR(VLOOKUP(C970, Terméklista!I:J, 2, FALSE), "Várom a cikkszámot...")</f>
        <v>Várom a cikkszámot...</v>
      </c>
      <c r="E970" s="40"/>
      <c r="F970" s="40"/>
      <c r="G970" s="41"/>
    </row>
    <row r="971" spans="1:7" x14ac:dyDescent="0.3">
      <c r="A971" s="42"/>
      <c r="B971" s="40" t="str">
        <f>IFERROR(VLOOKUP(A971, Terméklista!I:J, 2, FALSE), "Várom a cikkszámot...")</f>
        <v>Várom a cikkszámot...</v>
      </c>
      <c r="C971" s="44"/>
      <c r="D971" s="40" t="str">
        <f>IFERROR(VLOOKUP(C971, Terméklista!I:J, 2, FALSE), "Várom a cikkszámot...")</f>
        <v>Várom a cikkszámot...</v>
      </c>
      <c r="E971" s="40"/>
      <c r="F971" s="40"/>
      <c r="G971" s="41"/>
    </row>
    <row r="972" spans="1:7" x14ac:dyDescent="0.3">
      <c r="A972" s="42"/>
      <c r="B972" s="40" t="str">
        <f>IFERROR(VLOOKUP(A972, Terméklista!I:J, 2, FALSE), "Várom a cikkszámot...")</f>
        <v>Várom a cikkszámot...</v>
      </c>
      <c r="C972" s="44"/>
      <c r="D972" s="40" t="str">
        <f>IFERROR(VLOOKUP(C972, Terméklista!I:J, 2, FALSE), "Várom a cikkszámot...")</f>
        <v>Várom a cikkszámot...</v>
      </c>
      <c r="E972" s="40"/>
      <c r="F972" s="40"/>
      <c r="G972" s="41"/>
    </row>
    <row r="973" spans="1:7" x14ac:dyDescent="0.3">
      <c r="A973" s="42"/>
      <c r="B973" s="40" t="str">
        <f>IFERROR(VLOOKUP(A973, Terméklista!I:J, 2, FALSE), "Várom a cikkszámot...")</f>
        <v>Várom a cikkszámot...</v>
      </c>
      <c r="C973" s="44"/>
      <c r="D973" s="40" t="str">
        <f>IFERROR(VLOOKUP(C973, Terméklista!I:J, 2, FALSE), "Várom a cikkszámot...")</f>
        <v>Várom a cikkszámot...</v>
      </c>
      <c r="E973" s="40"/>
      <c r="F973" s="40"/>
      <c r="G973" s="41"/>
    </row>
    <row r="974" spans="1:7" x14ac:dyDescent="0.3">
      <c r="A974" s="42"/>
      <c r="B974" s="40" t="str">
        <f>IFERROR(VLOOKUP(A974, Terméklista!I:J, 2, FALSE), "Várom a cikkszámot...")</f>
        <v>Várom a cikkszámot...</v>
      </c>
      <c r="C974" s="44"/>
      <c r="D974" s="40" t="str">
        <f>IFERROR(VLOOKUP(C974, Terméklista!I:J, 2, FALSE), "Várom a cikkszámot...")</f>
        <v>Várom a cikkszámot...</v>
      </c>
      <c r="E974" s="40"/>
      <c r="F974" s="40"/>
      <c r="G974" s="41"/>
    </row>
    <row r="975" spans="1:7" x14ac:dyDescent="0.3">
      <c r="A975" s="42"/>
      <c r="B975" s="40" t="str">
        <f>IFERROR(VLOOKUP(A975, Terméklista!I:J, 2, FALSE), "Várom a cikkszámot...")</f>
        <v>Várom a cikkszámot...</v>
      </c>
      <c r="C975" s="44"/>
      <c r="D975" s="40" t="str">
        <f>IFERROR(VLOOKUP(C975, Terméklista!I:J, 2, FALSE), "Várom a cikkszámot...")</f>
        <v>Várom a cikkszámot...</v>
      </c>
      <c r="E975" s="40"/>
      <c r="F975" s="40"/>
      <c r="G975" s="41"/>
    </row>
    <row r="976" spans="1:7" x14ac:dyDescent="0.3">
      <c r="A976" s="42"/>
      <c r="B976" s="40" t="str">
        <f>IFERROR(VLOOKUP(A976, Terméklista!I:J, 2, FALSE), "Várom a cikkszámot...")</f>
        <v>Várom a cikkszámot...</v>
      </c>
      <c r="C976" s="44"/>
      <c r="D976" s="40" t="str">
        <f>IFERROR(VLOOKUP(C976, Terméklista!I:J, 2, FALSE), "Várom a cikkszámot...")</f>
        <v>Várom a cikkszámot...</v>
      </c>
      <c r="E976" s="40"/>
      <c r="F976" s="40"/>
      <c r="G976" s="41"/>
    </row>
    <row r="977" spans="1:7" x14ac:dyDescent="0.3">
      <c r="A977" s="42"/>
      <c r="B977" s="40" t="str">
        <f>IFERROR(VLOOKUP(A977, Terméklista!I:J, 2, FALSE), "Várom a cikkszámot...")</f>
        <v>Várom a cikkszámot...</v>
      </c>
      <c r="C977" s="44"/>
      <c r="D977" s="40" t="str">
        <f>IFERROR(VLOOKUP(C977, Terméklista!I:J, 2, FALSE), "Várom a cikkszámot...")</f>
        <v>Várom a cikkszámot...</v>
      </c>
      <c r="E977" s="40"/>
      <c r="F977" s="40"/>
      <c r="G977" s="41"/>
    </row>
    <row r="978" spans="1:7" x14ac:dyDescent="0.3">
      <c r="A978" s="42"/>
      <c r="B978" s="40" t="str">
        <f>IFERROR(VLOOKUP(A978, Terméklista!I:J, 2, FALSE), "Várom a cikkszámot...")</f>
        <v>Várom a cikkszámot...</v>
      </c>
      <c r="C978" s="44"/>
      <c r="D978" s="40" t="str">
        <f>IFERROR(VLOOKUP(C978, Terméklista!I:J, 2, FALSE), "Várom a cikkszámot...")</f>
        <v>Várom a cikkszámot...</v>
      </c>
      <c r="E978" s="40"/>
      <c r="F978" s="40"/>
      <c r="G978" s="41"/>
    </row>
    <row r="979" spans="1:7" x14ac:dyDescent="0.3">
      <c r="A979" s="42"/>
      <c r="B979" s="40" t="str">
        <f>IFERROR(VLOOKUP(A979, Terméklista!I:J, 2, FALSE), "Várom a cikkszámot...")</f>
        <v>Várom a cikkszámot...</v>
      </c>
      <c r="C979" s="44"/>
      <c r="D979" s="40" t="str">
        <f>IFERROR(VLOOKUP(C979, Terméklista!I:J, 2, FALSE), "Várom a cikkszámot...")</f>
        <v>Várom a cikkszámot...</v>
      </c>
      <c r="E979" s="40"/>
      <c r="F979" s="40"/>
      <c r="G979" s="41"/>
    </row>
    <row r="980" spans="1:7" x14ac:dyDescent="0.3">
      <c r="A980" s="42"/>
      <c r="B980" s="40" t="str">
        <f>IFERROR(VLOOKUP(A980, Terméklista!I:J, 2, FALSE), "Várom a cikkszámot...")</f>
        <v>Várom a cikkszámot...</v>
      </c>
      <c r="C980" s="44"/>
      <c r="D980" s="40" t="str">
        <f>IFERROR(VLOOKUP(C980, Terméklista!I:J, 2, FALSE), "Várom a cikkszámot...")</f>
        <v>Várom a cikkszámot...</v>
      </c>
      <c r="E980" s="40"/>
      <c r="F980" s="40"/>
      <c r="G980" s="41"/>
    </row>
    <row r="981" spans="1:7" x14ac:dyDescent="0.3">
      <c r="A981" s="42"/>
      <c r="B981" s="40" t="str">
        <f>IFERROR(VLOOKUP(A981, Terméklista!I:J, 2, FALSE), "Várom a cikkszámot...")</f>
        <v>Várom a cikkszámot...</v>
      </c>
      <c r="C981" s="44"/>
      <c r="D981" s="40" t="str">
        <f>IFERROR(VLOOKUP(C981, Terméklista!I:J, 2, FALSE), "Várom a cikkszámot...")</f>
        <v>Várom a cikkszámot...</v>
      </c>
      <c r="E981" s="40"/>
      <c r="F981" s="40"/>
      <c r="G981" s="41"/>
    </row>
    <row r="982" spans="1:7" x14ac:dyDescent="0.3">
      <c r="A982" s="42"/>
      <c r="B982" s="40" t="str">
        <f>IFERROR(VLOOKUP(A982, Terméklista!I:J, 2, FALSE), "Várom a cikkszámot...")</f>
        <v>Várom a cikkszámot...</v>
      </c>
      <c r="C982" s="44"/>
      <c r="D982" s="40" t="str">
        <f>IFERROR(VLOOKUP(C982, Terméklista!I:J, 2, FALSE), "Várom a cikkszámot...")</f>
        <v>Várom a cikkszámot...</v>
      </c>
      <c r="E982" s="40"/>
      <c r="F982" s="40"/>
      <c r="G982" s="41"/>
    </row>
    <row r="983" spans="1:7" x14ac:dyDescent="0.3">
      <c r="A983" s="42"/>
      <c r="B983" s="40" t="str">
        <f>IFERROR(VLOOKUP(A983, Terméklista!I:J, 2, FALSE), "Várom a cikkszámot...")</f>
        <v>Várom a cikkszámot...</v>
      </c>
      <c r="C983" s="44"/>
      <c r="D983" s="40" t="str">
        <f>IFERROR(VLOOKUP(C983, Terméklista!I:J, 2, FALSE), "Várom a cikkszámot...")</f>
        <v>Várom a cikkszámot...</v>
      </c>
      <c r="E983" s="40"/>
      <c r="F983" s="40"/>
      <c r="G983" s="41"/>
    </row>
    <row r="984" spans="1:7" x14ac:dyDescent="0.3">
      <c r="A984" s="42"/>
      <c r="B984" s="40" t="str">
        <f>IFERROR(VLOOKUP(A984, Terméklista!I:J, 2, FALSE), "Várom a cikkszámot...")</f>
        <v>Várom a cikkszámot...</v>
      </c>
      <c r="C984" s="44"/>
      <c r="D984" s="40" t="str">
        <f>IFERROR(VLOOKUP(C984, Terméklista!I:J, 2, FALSE), "Várom a cikkszámot...")</f>
        <v>Várom a cikkszámot...</v>
      </c>
      <c r="E984" s="40"/>
      <c r="F984" s="40"/>
      <c r="G984" s="41"/>
    </row>
    <row r="985" spans="1:7" x14ac:dyDescent="0.3">
      <c r="A985" s="42"/>
      <c r="B985" s="40" t="str">
        <f>IFERROR(VLOOKUP(A985, Terméklista!I:J, 2, FALSE), "Várom a cikkszámot...")</f>
        <v>Várom a cikkszámot...</v>
      </c>
      <c r="C985" s="44"/>
      <c r="D985" s="40" t="str">
        <f>IFERROR(VLOOKUP(C985, Terméklista!I:J, 2, FALSE), "Várom a cikkszámot...")</f>
        <v>Várom a cikkszámot...</v>
      </c>
      <c r="E985" s="40"/>
      <c r="F985" s="40"/>
      <c r="G985" s="41"/>
    </row>
    <row r="986" spans="1:7" x14ac:dyDescent="0.3">
      <c r="A986" s="42"/>
      <c r="B986" s="40" t="str">
        <f>IFERROR(VLOOKUP(A986, Terméklista!I:J, 2, FALSE), "Várom a cikkszámot...")</f>
        <v>Várom a cikkszámot...</v>
      </c>
      <c r="C986" s="44"/>
      <c r="D986" s="40" t="str">
        <f>IFERROR(VLOOKUP(C986, Terméklista!I:J, 2, FALSE), "Várom a cikkszámot...")</f>
        <v>Várom a cikkszámot...</v>
      </c>
      <c r="E986" s="40"/>
      <c r="F986" s="40"/>
      <c r="G986" s="41"/>
    </row>
    <row r="987" spans="1:7" x14ac:dyDescent="0.3">
      <c r="A987" s="42"/>
      <c r="B987" s="40" t="str">
        <f>IFERROR(VLOOKUP(A987, Terméklista!I:J, 2, FALSE), "Várom a cikkszámot...")</f>
        <v>Várom a cikkszámot...</v>
      </c>
      <c r="C987" s="44"/>
      <c r="D987" s="40" t="str">
        <f>IFERROR(VLOOKUP(C987, Terméklista!I:J, 2, FALSE), "Várom a cikkszámot...")</f>
        <v>Várom a cikkszámot...</v>
      </c>
      <c r="E987" s="40"/>
      <c r="F987" s="40"/>
      <c r="G987" s="41"/>
    </row>
    <row r="988" spans="1:7" x14ac:dyDescent="0.3">
      <c r="A988" s="42"/>
      <c r="B988" s="40" t="str">
        <f>IFERROR(VLOOKUP(A988, Terméklista!I:J, 2, FALSE), "Várom a cikkszámot...")</f>
        <v>Várom a cikkszámot...</v>
      </c>
      <c r="C988" s="44"/>
      <c r="D988" s="40" t="str">
        <f>IFERROR(VLOOKUP(C988, Terméklista!I:J, 2, FALSE), "Várom a cikkszámot...")</f>
        <v>Várom a cikkszámot...</v>
      </c>
      <c r="E988" s="40"/>
      <c r="F988" s="40"/>
      <c r="G988" s="41"/>
    </row>
    <row r="989" spans="1:7" x14ac:dyDescent="0.3">
      <c r="A989" s="42"/>
      <c r="B989" s="40" t="str">
        <f>IFERROR(VLOOKUP(A989, Terméklista!I:J, 2, FALSE), "Várom a cikkszámot...")</f>
        <v>Várom a cikkszámot...</v>
      </c>
      <c r="C989" s="44"/>
      <c r="D989" s="40" t="str">
        <f>IFERROR(VLOOKUP(C989, Terméklista!I:J, 2, FALSE), "Várom a cikkszámot...")</f>
        <v>Várom a cikkszámot...</v>
      </c>
      <c r="E989" s="40"/>
      <c r="F989" s="40"/>
      <c r="G989" s="41"/>
    </row>
    <row r="990" spans="1:7" x14ac:dyDescent="0.3">
      <c r="A990" s="42"/>
      <c r="B990" s="40" t="str">
        <f>IFERROR(VLOOKUP(A990, Terméklista!I:J, 2, FALSE), "Várom a cikkszámot...")</f>
        <v>Várom a cikkszámot...</v>
      </c>
      <c r="C990" s="44"/>
      <c r="D990" s="40" t="str">
        <f>IFERROR(VLOOKUP(C990, Terméklista!I:J, 2, FALSE), "Várom a cikkszámot...")</f>
        <v>Várom a cikkszámot...</v>
      </c>
      <c r="E990" s="40"/>
      <c r="F990" s="40"/>
      <c r="G990" s="41"/>
    </row>
    <row r="991" spans="1:7" x14ac:dyDescent="0.3">
      <c r="A991" s="42"/>
      <c r="B991" s="40" t="str">
        <f>IFERROR(VLOOKUP(A991, Terméklista!I:J, 2, FALSE), "Várom a cikkszámot...")</f>
        <v>Várom a cikkszámot...</v>
      </c>
      <c r="C991" s="44"/>
      <c r="D991" s="40" t="str">
        <f>IFERROR(VLOOKUP(C991, Terméklista!I:J, 2, FALSE), "Várom a cikkszámot...")</f>
        <v>Várom a cikkszámot...</v>
      </c>
      <c r="E991" s="40"/>
      <c r="F991" s="40"/>
      <c r="G991" s="41"/>
    </row>
    <row r="992" spans="1:7" x14ac:dyDescent="0.3">
      <c r="A992" s="42"/>
      <c r="B992" s="40" t="str">
        <f>IFERROR(VLOOKUP(A992, Terméklista!I:J, 2, FALSE), "Várom a cikkszámot...")</f>
        <v>Várom a cikkszámot...</v>
      </c>
      <c r="C992" s="44"/>
      <c r="D992" s="40" t="str">
        <f>IFERROR(VLOOKUP(C992, Terméklista!I:J, 2, FALSE), "Várom a cikkszámot...")</f>
        <v>Várom a cikkszámot...</v>
      </c>
      <c r="E992" s="40"/>
      <c r="F992" s="40"/>
      <c r="G992" s="41"/>
    </row>
    <row r="993" spans="1:7" x14ac:dyDescent="0.3">
      <c r="A993" s="42"/>
      <c r="B993" s="40" t="str">
        <f>IFERROR(VLOOKUP(A993, Terméklista!I:J, 2, FALSE), "Várom a cikkszámot...")</f>
        <v>Várom a cikkszámot...</v>
      </c>
      <c r="C993" s="44"/>
      <c r="D993" s="40" t="str">
        <f>IFERROR(VLOOKUP(C993, Terméklista!I:J, 2, FALSE), "Várom a cikkszámot...")</f>
        <v>Várom a cikkszámot...</v>
      </c>
      <c r="E993" s="40"/>
      <c r="F993" s="40"/>
      <c r="G993" s="41"/>
    </row>
    <row r="994" spans="1:7" x14ac:dyDescent="0.3">
      <c r="A994" s="42"/>
      <c r="B994" s="40" t="str">
        <f>IFERROR(VLOOKUP(A994, Terméklista!I:J, 2, FALSE), "Várom a cikkszámot...")</f>
        <v>Várom a cikkszámot...</v>
      </c>
      <c r="C994" s="44"/>
      <c r="D994" s="40" t="str">
        <f>IFERROR(VLOOKUP(C994, Terméklista!I:J, 2, FALSE), "Várom a cikkszámot...")</f>
        <v>Várom a cikkszámot...</v>
      </c>
      <c r="E994" s="40"/>
      <c r="F994" s="40"/>
      <c r="G994" s="41"/>
    </row>
    <row r="995" spans="1:7" x14ac:dyDescent="0.3">
      <c r="A995" s="42"/>
      <c r="B995" s="40" t="str">
        <f>IFERROR(VLOOKUP(A995, Terméklista!I:J, 2, FALSE), "Várom a cikkszámot...")</f>
        <v>Várom a cikkszámot...</v>
      </c>
      <c r="C995" s="44"/>
      <c r="D995" s="40" t="str">
        <f>IFERROR(VLOOKUP(C995, Terméklista!I:J, 2, FALSE), "Várom a cikkszámot...")</f>
        <v>Várom a cikkszámot...</v>
      </c>
      <c r="E995" s="40"/>
      <c r="F995" s="40"/>
      <c r="G995" s="41"/>
    </row>
    <row r="996" spans="1:7" x14ac:dyDescent="0.3">
      <c r="A996" s="42"/>
      <c r="B996" s="40" t="str">
        <f>IFERROR(VLOOKUP(A996, Terméklista!I:J, 2, FALSE), "Várom a cikkszámot...")</f>
        <v>Várom a cikkszámot...</v>
      </c>
      <c r="C996" s="44"/>
      <c r="D996" s="40" t="str">
        <f>IFERROR(VLOOKUP(C996, Terméklista!I:J, 2, FALSE), "Várom a cikkszámot...")</f>
        <v>Várom a cikkszámot...</v>
      </c>
      <c r="E996" s="40"/>
      <c r="F996" s="40"/>
      <c r="G996" s="41"/>
    </row>
    <row r="997" spans="1:7" x14ac:dyDescent="0.3">
      <c r="A997" s="42"/>
      <c r="B997" s="40" t="str">
        <f>IFERROR(VLOOKUP(A997, Terméklista!I:J, 2, FALSE), "Várom a cikkszámot...")</f>
        <v>Várom a cikkszámot...</v>
      </c>
      <c r="C997" s="44"/>
      <c r="D997" s="40" t="str">
        <f>IFERROR(VLOOKUP(C997, Terméklista!I:J, 2, FALSE), "Várom a cikkszámot...")</f>
        <v>Várom a cikkszámot...</v>
      </c>
      <c r="E997" s="40"/>
      <c r="F997" s="40"/>
      <c r="G997" s="41"/>
    </row>
    <row r="998" spans="1:7" x14ac:dyDescent="0.3">
      <c r="A998" s="42"/>
      <c r="B998" s="40" t="str">
        <f>IFERROR(VLOOKUP(A998, Terméklista!I:J, 2, FALSE), "Várom a cikkszámot...")</f>
        <v>Várom a cikkszámot...</v>
      </c>
      <c r="C998" s="44"/>
      <c r="D998" s="40" t="str">
        <f>IFERROR(VLOOKUP(C998, Terméklista!I:J, 2, FALSE), "Várom a cikkszámot...")</f>
        <v>Várom a cikkszámot...</v>
      </c>
      <c r="E998" s="40"/>
      <c r="F998" s="40"/>
      <c r="G998" s="41"/>
    </row>
  </sheetData>
  <phoneticPr fontId="7" type="noConversion"/>
  <pageMargins left="0.7" right="0.7" top="0.75" bottom="0.75" header="0.3" footer="0.3"/>
  <ignoredErrors>
    <ignoredError sqref="A378:A379 A451 A493"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54E5-F986-49A1-8DEA-20A0D9F23344}">
  <dimension ref="A1:E503"/>
  <sheetViews>
    <sheetView topLeftCell="A70" workbookViewId="0">
      <selection activeCell="A85" sqref="A85"/>
    </sheetView>
  </sheetViews>
  <sheetFormatPr defaultRowHeight="14.4" x14ac:dyDescent="0.3"/>
  <cols>
    <col min="1" max="1" width="32.77734375" style="9" customWidth="1"/>
    <col min="2" max="2" width="40.88671875" customWidth="1"/>
    <col min="3" max="3" width="32" customWidth="1"/>
    <col min="4" max="4" width="45.44140625" customWidth="1"/>
    <col min="5" max="5" width="136.5546875" customWidth="1"/>
  </cols>
  <sheetData>
    <row r="1" spans="1:5" x14ac:dyDescent="0.3">
      <c r="A1" s="34" t="s">
        <v>1238</v>
      </c>
      <c r="B1" s="35" t="s">
        <v>1237</v>
      </c>
      <c r="C1" s="34" t="s">
        <v>1239</v>
      </c>
      <c r="D1" s="35" t="s">
        <v>1241</v>
      </c>
      <c r="E1" s="35" t="s">
        <v>1240</v>
      </c>
    </row>
    <row r="2" spans="1:5" ht="15" customHeight="1" x14ac:dyDescent="0.3">
      <c r="A2" s="36" t="s">
        <v>2</v>
      </c>
      <c r="B2" s="37" t="str">
        <f>IFERROR(VLOOKUP(A2, Terméklista!I:J, 2, FALSE), "Várom a cikkszámot...")</f>
        <v>prisma SMART auto cpap (fekete)</v>
      </c>
      <c r="C2" s="36" t="s">
        <v>165</v>
      </c>
      <c r="D2" s="37" t="str">
        <f>IFERROR(VLOOKUP(C2, Terméklista!I:J, 2, FALSE), "Várom a cikkszámot...")</f>
        <v>Szivacsszűrő Prisma készülékhez 1csomag/2db</v>
      </c>
      <c r="E2" s="38" t="s">
        <v>1247</v>
      </c>
    </row>
    <row r="3" spans="1:5" ht="15" customHeight="1" x14ac:dyDescent="0.3">
      <c r="A3" s="39" t="s">
        <v>2</v>
      </c>
      <c r="B3" s="40" t="str">
        <f>IFERROR(VLOOKUP(A3, Terméklista!I:J, 2, FALSE), "Várom a cikkszámot...")</f>
        <v>prisma SMART auto cpap (fekete)</v>
      </c>
      <c r="C3" s="39" t="s">
        <v>171</v>
      </c>
      <c r="D3" s="40" t="str">
        <f>IFERROR(VLOOKUP(C3, Terméklista!I:J, 2, FALSE), "Várom a cikkszámot...")</f>
        <v>Pollenszűrő Prisma készülékhez 12db</v>
      </c>
      <c r="E3" s="41" t="s">
        <v>1247</v>
      </c>
    </row>
    <row r="4" spans="1:5" ht="15" customHeight="1" x14ac:dyDescent="0.3">
      <c r="A4" s="39" t="s">
        <v>2</v>
      </c>
      <c r="B4" s="40" t="str">
        <f>IFERROR(VLOOKUP(A4, Terméklista!I:J, 2, FALSE), "Várom a cikkszámot...")</f>
        <v>prisma SMART auto cpap (fekete)</v>
      </c>
      <c r="C4" s="39" t="s">
        <v>1242</v>
      </c>
      <c r="D4" s="40" t="str">
        <f>IFERROR(VLOOKUP(C4, Terméklista!I:J, 2, FALSE), "Várom a cikkszámot...")</f>
        <v>Baktériumszűrő</v>
      </c>
      <c r="E4" s="41" t="s">
        <v>1254</v>
      </c>
    </row>
    <row r="5" spans="1:5" ht="15" customHeight="1" x14ac:dyDescent="0.3">
      <c r="A5" s="39" t="s">
        <v>2</v>
      </c>
      <c r="B5" s="40" t="str">
        <f>IFERROR(VLOOKUP(A5, Terméklista!I:J, 2, FALSE), "Várom a cikkszámot...")</f>
        <v>prisma SMART auto cpap (fekete)</v>
      </c>
      <c r="C5" s="39" t="s">
        <v>63</v>
      </c>
      <c r="D5" s="40" t="str">
        <f>IFERROR(VLOOKUP(C5, Terméklista!I:J, 2, FALSE), "Várom a cikkszámot...")</f>
        <v>Prisma Aqua párásító fekete</v>
      </c>
      <c r="E5" s="41" t="s">
        <v>1243</v>
      </c>
    </row>
    <row r="6" spans="1:5" ht="15" customHeight="1" x14ac:dyDescent="0.3">
      <c r="A6" s="39" t="s">
        <v>2</v>
      </c>
      <c r="B6" s="40" t="str">
        <f>IFERROR(VLOOKUP(A6, Terméklista!I:J, 2, FALSE), "Várom a cikkszámot...")</f>
        <v>prisma SMART auto cpap (fekete)</v>
      </c>
      <c r="C6" s="39" t="s">
        <v>288</v>
      </c>
      <c r="D6" s="40" t="str">
        <f>IFERROR(VLOOKUP(C6, Terméklista!I:J, 2, FALSE), "Várom a cikkszámot...")</f>
        <v>Gégecső SomnoBalance és Prisma készülékhez</v>
      </c>
      <c r="E6" s="41" t="s">
        <v>1255</v>
      </c>
    </row>
    <row r="7" spans="1:5" ht="15" customHeight="1" x14ac:dyDescent="0.3">
      <c r="A7" s="39" t="s">
        <v>2</v>
      </c>
      <c r="B7" s="40" t="str">
        <f>IFERROR(VLOOKUP(A7, Terméklista!I:J, 2, FALSE), "Várom a cikkszámot...")</f>
        <v>prisma SMART auto cpap (fekete)</v>
      </c>
      <c r="C7" s="39" t="s">
        <v>286</v>
      </c>
      <c r="D7" s="40" t="str">
        <f>IFERROR(VLOOKUP(C7, Terméklista!I:J, 2, FALSE), "Várom a cikkszámot...")</f>
        <v>Gégecső huzat</v>
      </c>
      <c r="E7" s="41" t="s">
        <v>1254</v>
      </c>
    </row>
    <row r="8" spans="1:5" ht="15" customHeight="1" x14ac:dyDescent="0.3">
      <c r="A8" s="39" t="s">
        <v>2</v>
      </c>
      <c r="B8" s="40" t="str">
        <f>IFERROR(VLOOKUP(A8, Terméklista!I:J, 2, FALSE), "Várom a cikkszámot...")</f>
        <v>prisma SMART auto cpap (fekete)</v>
      </c>
      <c r="C8" s="39" t="s">
        <v>305</v>
      </c>
      <c r="D8" s="40" t="str">
        <f>IFERROR(VLOOKUP(C8, Terméklista!I:J, 2, FALSE), "Várom a cikkszámot...")</f>
        <v>prisma DC adapter (12/24V)</v>
      </c>
      <c r="E8" s="41" t="s">
        <v>1247</v>
      </c>
    </row>
    <row r="9" spans="1:5" ht="15" customHeight="1" x14ac:dyDescent="0.3">
      <c r="A9" s="39" t="s">
        <v>2</v>
      </c>
      <c r="B9" s="40" t="str">
        <f>IFERROR(VLOOKUP(A9, Terméklista!I:J, 2, FALSE), "Várom a cikkszámot...")</f>
        <v>prisma SMART auto cpap (fekete)</v>
      </c>
      <c r="C9" s="39" t="s">
        <v>314</v>
      </c>
      <c r="D9" s="40" t="str">
        <f>IFERROR(VLOOKUP(C9, Terméklista!I:J, 2, FALSE), "Várom a cikkszámot...")</f>
        <v>Csatlakozó kábel (Prisma)</v>
      </c>
      <c r="E9" s="41" t="s">
        <v>1247</v>
      </c>
    </row>
    <row r="10" spans="1:5" ht="15" customHeight="1" x14ac:dyDescent="0.3">
      <c r="A10" s="39" t="s">
        <v>2</v>
      </c>
      <c r="B10" s="40" t="str">
        <f>IFERROR(VLOOKUP(A10, Terméklista!I:J, 2, FALSE), "Várom a cikkszámot...")</f>
        <v>prisma SMART auto cpap (fekete)</v>
      </c>
      <c r="C10" s="40" t="s">
        <v>320</v>
      </c>
      <c r="D10" s="40" t="str">
        <f>IFERROR(VLOOKUP(C10, Terméklista!I:J, 2, FALSE), "Várom a cikkszámot...")</f>
        <v>Somno SD-kártya</v>
      </c>
      <c r="E10" s="41" t="s">
        <v>1256</v>
      </c>
    </row>
    <row r="11" spans="1:5" ht="15" customHeight="1" x14ac:dyDescent="0.3">
      <c r="A11" s="42" t="s">
        <v>8</v>
      </c>
      <c r="B11" s="40" t="str">
        <f>IFERROR(VLOOKUP(A11, Terméklista!I:J, 2, FALSE), "Várom a cikkszámot...")</f>
        <v>prisma SMART plus auto cpap (fehér)</v>
      </c>
      <c r="C11" s="43" t="s">
        <v>165</v>
      </c>
      <c r="D11" s="40" t="str">
        <f>IFERROR(VLOOKUP(C11, Terméklista!I:J, 2, FALSE), "Várom a cikkszámot...")</f>
        <v>Szivacsszűrő Prisma készülékhez 1csomag/2db</v>
      </c>
      <c r="E11" s="41" t="s">
        <v>1247</v>
      </c>
    </row>
    <row r="12" spans="1:5" ht="15" customHeight="1" x14ac:dyDescent="0.3">
      <c r="A12" s="42" t="s">
        <v>8</v>
      </c>
      <c r="B12" s="40" t="str">
        <f>IFERROR(VLOOKUP(A12, Terméklista!I:J, 2, FALSE), "Várom a cikkszámot...")</f>
        <v>prisma SMART plus auto cpap (fehér)</v>
      </c>
      <c r="C12" s="42" t="s">
        <v>171</v>
      </c>
      <c r="D12" s="40" t="str">
        <f>IFERROR(VLOOKUP(C12, Terméklista!I:J, 2, FALSE), "Várom a cikkszámot...")</f>
        <v>Pollenszűrő Prisma készülékhez 12db</v>
      </c>
      <c r="E12" s="41" t="s">
        <v>1247</v>
      </c>
    </row>
    <row r="13" spans="1:5" ht="15" customHeight="1" x14ac:dyDescent="0.3">
      <c r="A13" s="42" t="s">
        <v>8</v>
      </c>
      <c r="B13" s="40" t="str">
        <f>IFERROR(VLOOKUP(A13, Terméklista!I:J, 2, FALSE), "Várom a cikkszámot...")</f>
        <v>prisma SMART plus auto cpap (fehér)</v>
      </c>
      <c r="C13" s="42" t="s">
        <v>1242</v>
      </c>
      <c r="D13" s="40" t="str">
        <f>IFERROR(VLOOKUP(C13, Terméklista!I:J, 2, FALSE), "Várom a cikkszámot...")</f>
        <v>Baktériumszűrő</v>
      </c>
      <c r="E13" s="41" t="s">
        <v>1254</v>
      </c>
    </row>
    <row r="14" spans="1:5" ht="15" customHeight="1" x14ac:dyDescent="0.3">
      <c r="A14" s="42" t="s">
        <v>8</v>
      </c>
      <c r="B14" s="40" t="str">
        <f>IFERROR(VLOOKUP(A14, Terméklista!I:J, 2, FALSE), "Várom a cikkszámot...")</f>
        <v>prisma SMART plus auto cpap (fehér)</v>
      </c>
      <c r="C14" s="42" t="s">
        <v>60</v>
      </c>
      <c r="D14" s="40" t="str">
        <f>IFERROR(VLOOKUP(C14, Terméklista!I:J, 2, FALSE), "Várom a cikkszámot...")</f>
        <v>Prisma Aqua párásító fehér</v>
      </c>
      <c r="E14" s="41" t="s">
        <v>1244</v>
      </c>
    </row>
    <row r="15" spans="1:5" ht="15" customHeight="1" x14ac:dyDescent="0.3">
      <c r="A15" s="42" t="s">
        <v>8</v>
      </c>
      <c r="B15" s="40" t="str">
        <f>IFERROR(VLOOKUP(A15, Terméklista!I:J, 2, FALSE), "Várom a cikkszámot...")</f>
        <v>prisma SMART plus auto cpap (fehér)</v>
      </c>
      <c r="C15" s="42" t="s">
        <v>288</v>
      </c>
      <c r="D15" s="40" t="str">
        <f>IFERROR(VLOOKUP(C15, Terméklista!I:J, 2, FALSE), "Várom a cikkszámot...")</f>
        <v>Gégecső SomnoBalance és Prisma készülékhez</v>
      </c>
      <c r="E15" s="41" t="s">
        <v>1255</v>
      </c>
    </row>
    <row r="16" spans="1:5" ht="15" customHeight="1" x14ac:dyDescent="0.3">
      <c r="A16" s="42" t="s">
        <v>8</v>
      </c>
      <c r="B16" s="40" t="str">
        <f>IFERROR(VLOOKUP(A16, Terméklista!I:J, 2, FALSE), "Várom a cikkszámot...")</f>
        <v>prisma SMART plus auto cpap (fehér)</v>
      </c>
      <c r="C16" s="42" t="s">
        <v>286</v>
      </c>
      <c r="D16" s="40" t="str">
        <f>IFERROR(VLOOKUP(C16, Terméklista!I:J, 2, FALSE), "Várom a cikkszámot...")</f>
        <v>Gégecső huzat</v>
      </c>
      <c r="E16" s="41" t="s">
        <v>1254</v>
      </c>
    </row>
    <row r="17" spans="1:5" ht="15" customHeight="1" x14ac:dyDescent="0.3">
      <c r="A17" s="42" t="s">
        <v>8</v>
      </c>
      <c r="B17" s="40" t="str">
        <f>IFERROR(VLOOKUP(A17, Terméklista!I:J, 2, FALSE), "Várom a cikkszámot...")</f>
        <v>prisma SMART plus auto cpap (fehér)</v>
      </c>
      <c r="C17" s="42" t="s">
        <v>305</v>
      </c>
      <c r="D17" s="40" t="str">
        <f>IFERROR(VLOOKUP(C17, Terméklista!I:J, 2, FALSE), "Várom a cikkszámot...")</f>
        <v>prisma DC adapter (12/24V)</v>
      </c>
      <c r="E17" s="41" t="s">
        <v>1247</v>
      </c>
    </row>
    <row r="18" spans="1:5" ht="15" customHeight="1" x14ac:dyDescent="0.3">
      <c r="A18" s="42" t="s">
        <v>8</v>
      </c>
      <c r="B18" s="40" t="str">
        <f>IFERROR(VLOOKUP(A18, Terméklista!I:J, 2, FALSE), "Várom a cikkszámot...")</f>
        <v>prisma SMART plus auto cpap (fehér)</v>
      </c>
      <c r="C18" s="42" t="s">
        <v>314</v>
      </c>
      <c r="D18" s="40" t="str">
        <f>IFERROR(VLOOKUP(C18, Terméklista!I:J, 2, FALSE), "Várom a cikkszámot...")</f>
        <v>Csatlakozó kábel (Prisma)</v>
      </c>
      <c r="E18" s="41" t="s">
        <v>1247</v>
      </c>
    </row>
    <row r="19" spans="1:5" ht="15" customHeight="1" x14ac:dyDescent="0.3">
      <c r="A19" s="42" t="s">
        <v>8</v>
      </c>
      <c r="B19" s="40" t="str">
        <f>IFERROR(VLOOKUP(A19, Terméklista!I:J, 2, FALSE), "Várom a cikkszámot...")</f>
        <v>prisma SMART plus auto cpap (fehér)</v>
      </c>
      <c r="C19" s="42" t="s">
        <v>320</v>
      </c>
      <c r="D19" s="40" t="str">
        <f>IFERROR(VLOOKUP(C19, Terméklista!I:J, 2, FALSE), "Várom a cikkszámot...")</f>
        <v>Somno SD-kártya</v>
      </c>
      <c r="E19" s="41" t="s">
        <v>1256</v>
      </c>
    </row>
    <row r="20" spans="1:5" ht="15" customHeight="1" x14ac:dyDescent="0.3">
      <c r="A20" s="42" t="s">
        <v>10</v>
      </c>
      <c r="B20" s="40" t="str">
        <f>IFERROR(VLOOKUP(A20, Terméklista!I:J, 2, FALSE), "Várom a cikkszámot...")</f>
        <v>Prisma A20 auto cpap</v>
      </c>
      <c r="C20" s="42" t="s">
        <v>165</v>
      </c>
      <c r="D20" s="40" t="str">
        <f>IFERROR(VLOOKUP(C20, Terméklista!I:J, 2, FALSE), "Várom a cikkszámot...")</f>
        <v>Szivacsszűrő Prisma készülékhez 1csomag/2db</v>
      </c>
      <c r="E20" s="41" t="s">
        <v>1247</v>
      </c>
    </row>
    <row r="21" spans="1:5" ht="15" customHeight="1" x14ac:dyDescent="0.3">
      <c r="A21" s="42" t="s">
        <v>10</v>
      </c>
      <c r="B21" s="40" t="str">
        <f>IFERROR(VLOOKUP(A21, Terméklista!I:J, 2, FALSE), "Várom a cikkszámot...")</f>
        <v>Prisma A20 auto cpap</v>
      </c>
      <c r="C21" s="42" t="s">
        <v>171</v>
      </c>
      <c r="D21" s="40" t="str">
        <f>IFERROR(VLOOKUP(C21, Terméklista!I:J, 2, FALSE), "Várom a cikkszámot...")</f>
        <v>Pollenszűrő Prisma készülékhez 12db</v>
      </c>
      <c r="E21" s="41" t="s">
        <v>1247</v>
      </c>
    </row>
    <row r="22" spans="1:5" ht="15" customHeight="1" x14ac:dyDescent="0.3">
      <c r="A22" s="42" t="s">
        <v>10</v>
      </c>
      <c r="B22" s="40" t="str">
        <f>IFERROR(VLOOKUP(A22, Terméklista!I:J, 2, FALSE), "Várom a cikkszámot...")</f>
        <v>Prisma A20 auto cpap</v>
      </c>
      <c r="C22" s="42" t="s">
        <v>1242</v>
      </c>
      <c r="D22" s="40" t="str">
        <f>IFERROR(VLOOKUP(C22, Terméklista!I:J, 2, FALSE), "Várom a cikkszámot...")</f>
        <v>Baktériumszűrő</v>
      </c>
      <c r="E22" s="41" t="s">
        <v>1254</v>
      </c>
    </row>
    <row r="23" spans="1:5" ht="15" customHeight="1" x14ac:dyDescent="0.3">
      <c r="A23" s="42" t="s">
        <v>10</v>
      </c>
      <c r="B23" s="40" t="str">
        <f>IFERROR(VLOOKUP(A23, Terméklista!I:J, 2, FALSE), "Várom a cikkszámot...")</f>
        <v>Prisma A20 auto cpap</v>
      </c>
      <c r="C23" s="42" t="s">
        <v>63</v>
      </c>
      <c r="D23" s="40" t="str">
        <f>IFERROR(VLOOKUP(C23, Terméklista!I:J, 2, FALSE), "Várom a cikkszámot...")</f>
        <v>Prisma Aqua párásító fekete</v>
      </c>
      <c r="E23" s="41" t="s">
        <v>1243</v>
      </c>
    </row>
    <row r="24" spans="1:5" ht="15" customHeight="1" x14ac:dyDescent="0.3">
      <c r="A24" s="42" t="s">
        <v>10</v>
      </c>
      <c r="B24" s="40" t="str">
        <f>IFERROR(VLOOKUP(A24, Terméklista!I:J, 2, FALSE), "Várom a cikkszámot...")</f>
        <v>Prisma A20 auto cpap</v>
      </c>
      <c r="C24" s="42" t="s">
        <v>288</v>
      </c>
      <c r="D24" s="40" t="str">
        <f>IFERROR(VLOOKUP(C24, Terméklista!I:J, 2, FALSE), "Várom a cikkszámot...")</f>
        <v>Gégecső SomnoBalance és Prisma készülékhez</v>
      </c>
      <c r="E24" s="41" t="s">
        <v>1255</v>
      </c>
    </row>
    <row r="25" spans="1:5" ht="15" customHeight="1" x14ac:dyDescent="0.3">
      <c r="A25" s="42" t="s">
        <v>10</v>
      </c>
      <c r="B25" s="40" t="str">
        <f>IFERROR(VLOOKUP(A25, Terméklista!I:J, 2, FALSE), "Várom a cikkszámot...")</f>
        <v>Prisma A20 auto cpap</v>
      </c>
      <c r="C25" s="42" t="s">
        <v>286</v>
      </c>
      <c r="D25" s="40" t="str">
        <f>IFERROR(VLOOKUP(C25, Terméklista!I:J, 2, FALSE), "Várom a cikkszámot...")</f>
        <v>Gégecső huzat</v>
      </c>
      <c r="E25" s="41" t="s">
        <v>1254</v>
      </c>
    </row>
    <row r="26" spans="1:5" ht="15" customHeight="1" x14ac:dyDescent="0.3">
      <c r="A26" s="42" t="s">
        <v>10</v>
      </c>
      <c r="B26" s="40" t="str">
        <f>IFERROR(VLOOKUP(A26, Terméklista!I:J, 2, FALSE), "Várom a cikkszámot...")</f>
        <v>Prisma A20 auto cpap</v>
      </c>
      <c r="C26" s="42" t="s">
        <v>305</v>
      </c>
      <c r="D26" s="40" t="str">
        <f>IFERROR(VLOOKUP(C26, Terméklista!I:J, 2, FALSE), "Várom a cikkszámot...")</f>
        <v>prisma DC adapter (12/24V)</v>
      </c>
      <c r="E26" s="41" t="s">
        <v>1247</v>
      </c>
    </row>
    <row r="27" spans="1:5" ht="15" customHeight="1" x14ac:dyDescent="0.3">
      <c r="A27" s="42" t="s">
        <v>10</v>
      </c>
      <c r="B27" s="40" t="str">
        <f>IFERROR(VLOOKUP(A27, Terméklista!I:J, 2, FALSE), "Várom a cikkszámot...")</f>
        <v>Prisma A20 auto cpap</v>
      </c>
      <c r="C27" s="42" t="s">
        <v>307</v>
      </c>
      <c r="D27" s="40" t="str">
        <f>IFERROR(VLOOKUP(C27, Terméklista!I:J, 2, FALSE), "Várom a cikkszámot...")</f>
        <v>prisma20A tápegység</v>
      </c>
      <c r="E27" s="41" t="s">
        <v>1243</v>
      </c>
    </row>
    <row r="28" spans="1:5" ht="15" customHeight="1" x14ac:dyDescent="0.3">
      <c r="A28" s="42" t="s">
        <v>10</v>
      </c>
      <c r="B28" s="40" t="str">
        <f>IFERROR(VLOOKUP(A28, Terméklista!I:J, 2, FALSE), "Várom a cikkszámot...")</f>
        <v>Prisma A20 auto cpap</v>
      </c>
      <c r="C28" s="42" t="s">
        <v>314</v>
      </c>
      <c r="D28" s="40" t="str">
        <f>IFERROR(VLOOKUP(C28, Terméklista!I:J, 2, FALSE), "Várom a cikkszámot...")</f>
        <v>Csatlakozó kábel (Prisma)</v>
      </c>
      <c r="E28" s="41" t="s">
        <v>1247</v>
      </c>
    </row>
    <row r="29" spans="1:5" ht="15" customHeight="1" x14ac:dyDescent="0.3">
      <c r="A29" s="42" t="s">
        <v>14</v>
      </c>
      <c r="B29" s="40" t="str">
        <f>IFERROR(VLOOKUP(A29, Terméklista!I:J, 2, FALSE), "Várom a cikkszámot...")</f>
        <v>DreamStation auto cpap</v>
      </c>
      <c r="C29" s="42" t="s">
        <v>1248</v>
      </c>
      <c r="D29" s="40" t="str">
        <f>IFERROR(VLOOKUP(C29, Terméklista!I:J, 2, FALSE), "Várom a cikkszámot...")</f>
        <v>Szivacsszűrő DreamStation 1  készülékhez 1db</v>
      </c>
      <c r="E29" s="41" t="s">
        <v>1250</v>
      </c>
    </row>
    <row r="30" spans="1:5" ht="15" customHeight="1" x14ac:dyDescent="0.3">
      <c r="A30" s="42" t="s">
        <v>14</v>
      </c>
      <c r="B30" s="40" t="str">
        <f>IFERROR(VLOOKUP(A30, Terméklista!I:J, 2, FALSE), "Várom a cikkszámot...")</f>
        <v>DreamStation auto cpap</v>
      </c>
      <c r="C30" s="42" t="s">
        <v>1249</v>
      </c>
      <c r="D30" s="40" t="str">
        <f>IFERROR(VLOOKUP(C30, Terméklista!I:J, 2, FALSE), "Várom a cikkszámot...")</f>
        <v>Pollenszűrő Dreamstation 1 készülékhez 1cs/6db</v>
      </c>
      <c r="E30" s="41" t="s">
        <v>1250</v>
      </c>
    </row>
    <row r="31" spans="1:5" ht="15" customHeight="1" x14ac:dyDescent="0.3">
      <c r="A31" s="42" t="s">
        <v>14</v>
      </c>
      <c r="B31" s="40" t="str">
        <f>IFERROR(VLOOKUP(A31, Terméklista!I:J, 2, FALSE), "Várom a cikkszámot...")</f>
        <v>DreamStation auto cpap</v>
      </c>
      <c r="C31" s="42" t="s">
        <v>1242</v>
      </c>
      <c r="D31" s="40" t="str">
        <f>IFERROR(VLOOKUP(C31, Terméklista!I:J, 2, FALSE), "Várom a cikkszámot...")</f>
        <v>Baktériumszűrő</v>
      </c>
      <c r="E31" s="41" t="s">
        <v>1254</v>
      </c>
    </row>
    <row r="32" spans="1:5" ht="15" customHeight="1" x14ac:dyDescent="0.3">
      <c r="A32" s="42" t="s">
        <v>14</v>
      </c>
      <c r="B32" s="40" t="str">
        <f>IFERROR(VLOOKUP(A32, Terméklista!I:J, 2, FALSE), "Várom a cikkszámot...")</f>
        <v>DreamStation auto cpap</v>
      </c>
      <c r="C32" s="42" t="s">
        <v>69</v>
      </c>
      <c r="D32" s="40" t="str">
        <f>IFERROR(VLOOKUP(C32, Terméklista!I:J, 2, FALSE), "Várom a cikkszámot...")</f>
        <v xml:space="preserve">DreamStation fűthető párásító EUXH </v>
      </c>
      <c r="E32" s="41" t="s">
        <v>1250</v>
      </c>
    </row>
    <row r="33" spans="1:5" ht="15" customHeight="1" x14ac:dyDescent="0.3">
      <c r="A33" s="42" t="s">
        <v>14</v>
      </c>
      <c r="B33" s="40" t="str">
        <f>IFERROR(VLOOKUP(A33, Terméklista!I:J, 2, FALSE), "Várom a cikkszámot...")</f>
        <v>DreamStation auto cpap</v>
      </c>
      <c r="C33" s="42" t="s">
        <v>290</v>
      </c>
      <c r="D33" s="40" t="str">
        <f>IFERROR(VLOOKUP(C33, Terméklista!I:J, 2, FALSE), "Várom a cikkszámot...")</f>
        <v>DreamStation gégecső</v>
      </c>
      <c r="E33" s="41" t="s">
        <v>1251</v>
      </c>
    </row>
    <row r="34" spans="1:5" ht="15" customHeight="1" x14ac:dyDescent="0.3">
      <c r="A34" s="42" t="s">
        <v>14</v>
      </c>
      <c r="B34" s="40" t="str">
        <f>IFERROR(VLOOKUP(A34, Terméklista!I:J, 2, FALSE), "Várom a cikkszámot...")</f>
        <v>DreamStation auto cpap</v>
      </c>
      <c r="C34" s="42" t="s">
        <v>286</v>
      </c>
      <c r="D34" s="40" t="str">
        <f>IFERROR(VLOOKUP(C34, Terméklista!I:J, 2, FALSE), "Várom a cikkszámot...")</f>
        <v>Gégecső huzat</v>
      </c>
      <c r="E34" s="41" t="s">
        <v>1254</v>
      </c>
    </row>
    <row r="35" spans="1:5" ht="15" customHeight="1" x14ac:dyDescent="0.3">
      <c r="A35" s="42" t="s">
        <v>14</v>
      </c>
      <c r="B35" s="40" t="str">
        <f>IFERROR(VLOOKUP(A35, Terméklista!I:J, 2, FALSE), "Várom a cikkszámot...")</f>
        <v>DreamStation auto cpap</v>
      </c>
      <c r="C35" s="42" t="s">
        <v>295</v>
      </c>
      <c r="D35" s="40" t="str">
        <f>IFERROR(VLOOKUP(C35, Terméklista!I:J, 2, FALSE), "Várom a cikkszámot...")</f>
        <v>DreamStation fűthető gégecső</v>
      </c>
      <c r="E35" s="41" t="s">
        <v>1251</v>
      </c>
    </row>
    <row r="36" spans="1:5" ht="15" customHeight="1" x14ac:dyDescent="0.3">
      <c r="A36" s="42" t="s">
        <v>441</v>
      </c>
      <c r="B36" s="40" t="str">
        <f>IFERROR(VLOOKUP(A36, Terméklista!I:J, 2, FALSE), "Várom a cikkszámot...")</f>
        <v>DreamStation2 auto cpap</v>
      </c>
      <c r="C36" s="42"/>
      <c r="D36" s="40" t="str">
        <f>IFERROR(VLOOKUP(C36, Terméklista!I:J, 2, FALSE), "Várom a cikkszámot...")</f>
        <v>Várom a cikkszámot...</v>
      </c>
      <c r="E36" s="40"/>
    </row>
    <row r="37" spans="1:5" ht="15" customHeight="1" x14ac:dyDescent="0.3">
      <c r="A37" s="42" t="s">
        <v>441</v>
      </c>
      <c r="B37" s="40" t="str">
        <f>IFERROR(VLOOKUP(A37, Terméklista!I:J, 2, FALSE), "Várom a cikkszámot...")</f>
        <v>DreamStation2 auto cpap</v>
      </c>
      <c r="C37" s="42"/>
      <c r="D37" s="40" t="str">
        <f>IFERROR(VLOOKUP(C37, Terméklista!I:J, 2, FALSE), "Várom a cikkszámot...")</f>
        <v>Várom a cikkszámot...</v>
      </c>
      <c r="E37" s="40"/>
    </row>
    <row r="38" spans="1:5" ht="15" customHeight="1" x14ac:dyDescent="0.3">
      <c r="A38" s="42" t="s">
        <v>441</v>
      </c>
      <c r="B38" s="40" t="str">
        <f>IFERROR(VLOOKUP(A38, Terméklista!I:J, 2, FALSE), "Várom a cikkszámot...")</f>
        <v>DreamStation2 auto cpap</v>
      </c>
      <c r="C38" s="42" t="s">
        <v>290</v>
      </c>
      <c r="D38" s="40" t="str">
        <f>IFERROR(VLOOKUP(C38, Terméklista!I:J, 2, FALSE), "Várom a cikkszámot...")</f>
        <v>DreamStation gégecső</v>
      </c>
      <c r="E38" s="41" t="s">
        <v>1251</v>
      </c>
    </row>
    <row r="39" spans="1:5" ht="15" customHeight="1" x14ac:dyDescent="0.3">
      <c r="A39" s="42" t="s">
        <v>441</v>
      </c>
      <c r="B39" s="40" t="str">
        <f>IFERROR(VLOOKUP(A39, Terméklista!I:J, 2, FALSE), "Várom a cikkszámot...")</f>
        <v>DreamStation2 auto cpap</v>
      </c>
      <c r="C39" s="42" t="s">
        <v>286</v>
      </c>
      <c r="D39" s="40" t="str">
        <f>IFERROR(VLOOKUP(C39, Terméklista!I:J, 2, FALSE), "Várom a cikkszámot...")</f>
        <v>Gégecső huzat</v>
      </c>
      <c r="E39" s="41" t="s">
        <v>1254</v>
      </c>
    </row>
    <row r="40" spans="1:5" ht="15" customHeight="1" x14ac:dyDescent="0.3">
      <c r="A40" s="42" t="s">
        <v>441</v>
      </c>
      <c r="B40" s="40" t="str">
        <f>IFERROR(VLOOKUP(A40, Terméklista!I:J, 2, FALSE), "Várom a cikkszámot...")</f>
        <v>DreamStation2 auto cpap</v>
      </c>
      <c r="C40" s="42" t="s">
        <v>295</v>
      </c>
      <c r="D40" s="40" t="str">
        <f>IFERROR(VLOOKUP(C40, Terméklista!I:J, 2, FALSE), "Várom a cikkszámot...")</f>
        <v>DreamStation fűthető gégecső</v>
      </c>
      <c r="E40" s="41" t="s">
        <v>1251</v>
      </c>
    </row>
    <row r="41" spans="1:5" ht="15" customHeight="1" x14ac:dyDescent="0.3">
      <c r="A41" s="42" t="s">
        <v>441</v>
      </c>
      <c r="B41" s="40" t="str">
        <f>IFERROR(VLOOKUP(A41, Terméklista!I:J, 2, FALSE), "Várom a cikkszámot...")</f>
        <v>DreamStation2 auto cpap</v>
      </c>
      <c r="C41" s="42" t="s">
        <v>1242</v>
      </c>
      <c r="D41" s="40" t="str">
        <f>IFERROR(VLOOKUP(C41, Terméklista!I:J, 2, FALSE), "Várom a cikkszámot...")</f>
        <v>Baktériumszűrő</v>
      </c>
      <c r="E41" s="41" t="s">
        <v>1254</v>
      </c>
    </row>
    <row r="42" spans="1:5" ht="15" customHeight="1" x14ac:dyDescent="0.3">
      <c r="A42" s="42" t="s">
        <v>19</v>
      </c>
      <c r="B42" s="40" t="str">
        <f>IFERROR(VLOOKUP(A42, Terméklista!I:J, 2, FALSE), "Várom a cikkszámot...")</f>
        <v>AeonMed AS100A auto cpap</v>
      </c>
      <c r="C42" s="42" t="s">
        <v>180</v>
      </c>
      <c r="D42" s="40" t="str">
        <f>IFERROR(VLOOKUP(C42, Terméklista!I:J, 2, FALSE), "Várom a cikkszámot...")</f>
        <v>Pollenszűrő AS100A készülékhez 12db</v>
      </c>
      <c r="E42" s="41" t="s">
        <v>1252</v>
      </c>
    </row>
    <row r="43" spans="1:5" ht="15" customHeight="1" x14ac:dyDescent="0.3">
      <c r="A43" s="42" t="s">
        <v>19</v>
      </c>
      <c r="B43" s="40" t="str">
        <f>IFERROR(VLOOKUP(A43, Terméklista!I:J, 2, FALSE), "Várom a cikkszámot...")</f>
        <v>AeonMed AS100A auto cpap</v>
      </c>
      <c r="C43" s="42" t="s">
        <v>71</v>
      </c>
      <c r="D43" s="40" t="str">
        <f>IFERROR(VLOOKUP(C43, Terméklista!I:J, 2, FALSE), "Várom a cikkszámot...")</f>
        <v>Párásító AS100A készülékhez</v>
      </c>
      <c r="E43" s="41" t="s">
        <v>1252</v>
      </c>
    </row>
    <row r="44" spans="1:5" ht="15" customHeight="1" x14ac:dyDescent="0.3">
      <c r="A44" s="42" t="s">
        <v>19</v>
      </c>
      <c r="B44" s="40" t="str">
        <f>IFERROR(VLOOKUP(A44, Terméklista!I:J, 2, FALSE), "Várom a cikkszámot...")</f>
        <v>AeonMed AS100A auto cpap</v>
      </c>
      <c r="C44" s="42" t="s">
        <v>312</v>
      </c>
      <c r="D44" s="40" t="str">
        <f>IFERROR(VLOOKUP(C44, Terméklista!I:J, 2, FALSE), "Várom a cikkszámot...")</f>
        <v>Várom a cikkszámot...</v>
      </c>
      <c r="E44" s="41" t="s">
        <v>1252</v>
      </c>
    </row>
    <row r="45" spans="1:5" ht="15" customHeight="1" x14ac:dyDescent="0.3">
      <c r="A45" s="42" t="s">
        <v>23</v>
      </c>
      <c r="B45" s="40" t="str">
        <f>IFERROR(VLOOKUP(A45, Terméklista!I:J, 2, FALSE), "Várom a cikkszámot...")</f>
        <v>prisma 25S auto BiPAP</v>
      </c>
      <c r="C45" s="42" t="s">
        <v>165</v>
      </c>
      <c r="D45" s="40" t="str">
        <f>IFERROR(VLOOKUP(C45, Terméklista!I:J, 2, FALSE), "Várom a cikkszámot...")</f>
        <v>Szivacsszűrő Prisma készülékhez 1csomag/2db</v>
      </c>
      <c r="E45" s="41" t="s">
        <v>1247</v>
      </c>
    </row>
    <row r="46" spans="1:5" ht="15" customHeight="1" x14ac:dyDescent="0.3">
      <c r="A46" s="42" t="s">
        <v>23</v>
      </c>
      <c r="B46" s="40" t="str">
        <f>IFERROR(VLOOKUP(A46, Terméklista!I:J, 2, FALSE), "Várom a cikkszámot...")</f>
        <v>prisma 25S auto BiPAP</v>
      </c>
      <c r="C46" s="42" t="s">
        <v>171</v>
      </c>
      <c r="D46" s="40" t="str">
        <f>IFERROR(VLOOKUP(C46, Terméklista!I:J, 2, FALSE), "Várom a cikkszámot...")</f>
        <v>Pollenszűrő Prisma készülékhez 12db</v>
      </c>
      <c r="E46" s="41" t="s">
        <v>1247</v>
      </c>
    </row>
    <row r="47" spans="1:5" ht="15" customHeight="1" x14ac:dyDescent="0.3">
      <c r="A47" s="42" t="s">
        <v>23</v>
      </c>
      <c r="B47" s="40" t="str">
        <f>IFERROR(VLOOKUP(A47, Terméklista!I:J, 2, FALSE), "Várom a cikkszámot...")</f>
        <v>prisma 25S auto BiPAP</v>
      </c>
      <c r="C47" s="42" t="s">
        <v>1242</v>
      </c>
      <c r="D47" s="40" t="str">
        <f>IFERROR(VLOOKUP(C47, Terméklista!I:J, 2, FALSE), "Várom a cikkszámot...")</f>
        <v>Baktériumszűrő</v>
      </c>
      <c r="E47" s="41" t="s">
        <v>1254</v>
      </c>
    </row>
    <row r="48" spans="1:5" ht="15" customHeight="1" x14ac:dyDescent="0.3">
      <c r="A48" s="42" t="s">
        <v>23</v>
      </c>
      <c r="B48" s="40" t="str">
        <f>IFERROR(VLOOKUP(A48, Terméklista!I:J, 2, FALSE), "Várom a cikkszámot...")</f>
        <v>prisma 25S auto BiPAP</v>
      </c>
      <c r="C48" s="42" t="s">
        <v>63</v>
      </c>
      <c r="D48" s="40" t="str">
        <f>IFERROR(VLOOKUP(C48, Terméklista!I:J, 2, FALSE), "Várom a cikkszámot...")</f>
        <v>Prisma Aqua párásító fekete</v>
      </c>
      <c r="E48" s="41" t="s">
        <v>1243</v>
      </c>
    </row>
    <row r="49" spans="1:5" ht="15" customHeight="1" x14ac:dyDescent="0.3">
      <c r="A49" s="42" t="s">
        <v>23</v>
      </c>
      <c r="B49" s="40" t="str">
        <f>IFERROR(VLOOKUP(A49, Terméklista!I:J, 2, FALSE), "Várom a cikkszámot...")</f>
        <v>prisma 25S auto BiPAP</v>
      </c>
      <c r="C49" s="42" t="s">
        <v>288</v>
      </c>
      <c r="D49" s="40" t="str">
        <f>IFERROR(VLOOKUP(C49, Terméklista!I:J, 2, FALSE), "Várom a cikkszámot...")</f>
        <v>Gégecső SomnoBalance és Prisma készülékhez</v>
      </c>
      <c r="E49" s="41" t="s">
        <v>1255</v>
      </c>
    </row>
    <row r="50" spans="1:5" ht="15" customHeight="1" x14ac:dyDescent="0.3">
      <c r="A50" s="42" t="s">
        <v>23</v>
      </c>
      <c r="B50" s="40" t="str">
        <f>IFERROR(VLOOKUP(A50, Terméklista!I:J, 2, FALSE), "Várom a cikkszámot...")</f>
        <v>prisma 25S auto BiPAP</v>
      </c>
      <c r="C50" s="42" t="s">
        <v>286</v>
      </c>
      <c r="D50" s="40" t="str">
        <f>IFERROR(VLOOKUP(C50, Terméklista!I:J, 2, FALSE), "Várom a cikkszámot...")</f>
        <v>Gégecső huzat</v>
      </c>
      <c r="E50" s="41" t="s">
        <v>1254</v>
      </c>
    </row>
    <row r="51" spans="1:5" ht="15" customHeight="1" x14ac:dyDescent="0.3">
      <c r="A51" s="42" t="s">
        <v>23</v>
      </c>
      <c r="B51" s="40" t="str">
        <f>IFERROR(VLOOKUP(A51, Terméklista!I:J, 2, FALSE), "Várom a cikkszámot...")</f>
        <v>prisma 25S auto BiPAP</v>
      </c>
      <c r="C51" s="42" t="s">
        <v>305</v>
      </c>
      <c r="D51" s="40" t="str">
        <f>IFERROR(VLOOKUP(C51, Terméklista!I:J, 2, FALSE), "Várom a cikkszámot...")</f>
        <v>prisma DC adapter (12/24V)</v>
      </c>
      <c r="E51" s="41" t="s">
        <v>1247</v>
      </c>
    </row>
    <row r="52" spans="1:5" ht="15" customHeight="1" x14ac:dyDescent="0.3">
      <c r="A52" s="42" t="s">
        <v>23</v>
      </c>
      <c r="B52" s="40" t="str">
        <f>IFERROR(VLOOKUP(A52, Terméklista!I:J, 2, FALSE), "Várom a cikkszámot...")</f>
        <v>prisma 25S auto BiPAP</v>
      </c>
      <c r="C52" s="42" t="s">
        <v>314</v>
      </c>
      <c r="D52" s="40" t="str">
        <f>IFERROR(VLOOKUP(C52, Terméklista!I:J, 2, FALSE), "Várom a cikkszámot...")</f>
        <v>Csatlakozó kábel (Prisma)</v>
      </c>
      <c r="E52" s="41" t="s">
        <v>1247</v>
      </c>
    </row>
    <row r="53" spans="1:5" ht="15" customHeight="1" x14ac:dyDescent="0.3">
      <c r="A53" s="42" t="s">
        <v>23</v>
      </c>
      <c r="B53" s="40" t="str">
        <f>IFERROR(VLOOKUP(A53, Terméklista!I:J, 2, FALSE), "Várom a cikkszámot...")</f>
        <v>prisma 25S auto BiPAP</v>
      </c>
      <c r="C53" s="42" t="s">
        <v>307</v>
      </c>
      <c r="D53" s="40" t="str">
        <f>IFERROR(VLOOKUP(C53, Terméklista!I:J, 2, FALSE), "Várom a cikkszámot...")</f>
        <v>prisma20A tápegység</v>
      </c>
      <c r="E53" s="41" t="s">
        <v>1243</v>
      </c>
    </row>
    <row r="54" spans="1:5" ht="15" customHeight="1" x14ac:dyDescent="0.3">
      <c r="A54" s="42" t="s">
        <v>23</v>
      </c>
      <c r="B54" s="40" t="str">
        <f>IFERROR(VLOOKUP(A54, Terméklista!I:J, 2, FALSE), "Várom a cikkszámot...")</f>
        <v>prisma 25S auto BiPAP</v>
      </c>
      <c r="C54" s="42" t="s">
        <v>320</v>
      </c>
      <c r="D54" s="40" t="str">
        <f>IFERROR(VLOOKUP(C54, Terméklista!I:J, 2, FALSE), "Várom a cikkszámot...")</f>
        <v>Somno SD-kártya</v>
      </c>
      <c r="E54" s="41" t="s">
        <v>1256</v>
      </c>
    </row>
    <row r="55" spans="1:5" ht="15" customHeight="1" x14ac:dyDescent="0.3">
      <c r="A55" s="42" t="s">
        <v>26</v>
      </c>
      <c r="B55" s="40" t="str">
        <f>IFERROR(VLOOKUP(A55, Terméklista!I:J, 2, FALSE), "Várom a cikkszámot...")</f>
        <v>prisma30ST</v>
      </c>
      <c r="C55" s="42" t="s">
        <v>165</v>
      </c>
      <c r="D55" s="40" t="str">
        <f>IFERROR(VLOOKUP(C55, Terméklista!I:J, 2, FALSE), "Várom a cikkszámot...")</f>
        <v>Szivacsszűrő Prisma készülékhez 1csomag/2db</v>
      </c>
      <c r="E55" s="41" t="s">
        <v>1247</v>
      </c>
    </row>
    <row r="56" spans="1:5" ht="15" customHeight="1" x14ac:dyDescent="0.3">
      <c r="A56" s="42" t="s">
        <v>26</v>
      </c>
      <c r="B56" s="40" t="str">
        <f>IFERROR(VLOOKUP(A56, Terméklista!I:J, 2, FALSE), "Várom a cikkszámot...")</f>
        <v>prisma30ST</v>
      </c>
      <c r="C56" s="42" t="s">
        <v>171</v>
      </c>
      <c r="D56" s="40" t="str">
        <f>IFERROR(VLOOKUP(C56, Terméklista!I:J, 2, FALSE), "Várom a cikkszámot...")</f>
        <v>Pollenszűrő Prisma készülékhez 12db</v>
      </c>
      <c r="E56" s="41" t="s">
        <v>1247</v>
      </c>
    </row>
    <row r="57" spans="1:5" ht="15" customHeight="1" x14ac:dyDescent="0.3">
      <c r="A57" s="42" t="s">
        <v>26</v>
      </c>
      <c r="B57" s="40" t="str">
        <f>IFERROR(VLOOKUP(A57, Terméklista!I:J, 2, FALSE), "Várom a cikkszámot...")</f>
        <v>prisma30ST</v>
      </c>
      <c r="C57" s="42" t="s">
        <v>1242</v>
      </c>
      <c r="D57" s="40" t="str">
        <f>IFERROR(VLOOKUP(C57, Terméklista!I:J, 2, FALSE), "Várom a cikkszámot...")</f>
        <v>Baktériumszűrő</v>
      </c>
      <c r="E57" s="41" t="s">
        <v>1254</v>
      </c>
    </row>
    <row r="58" spans="1:5" ht="15" customHeight="1" x14ac:dyDescent="0.3">
      <c r="A58" s="42" t="s">
        <v>26</v>
      </c>
      <c r="B58" s="40" t="str">
        <f>IFERROR(VLOOKUP(A58, Terméklista!I:J, 2, FALSE), "Várom a cikkszámot...")</f>
        <v>prisma30ST</v>
      </c>
      <c r="C58" s="42" t="s">
        <v>63</v>
      </c>
      <c r="D58" s="40" t="str">
        <f>IFERROR(VLOOKUP(C58, Terméklista!I:J, 2, FALSE), "Várom a cikkszámot...")</f>
        <v>Prisma Aqua párásító fekete</v>
      </c>
      <c r="E58" s="41" t="s">
        <v>1243</v>
      </c>
    </row>
    <row r="59" spans="1:5" ht="15" customHeight="1" x14ac:dyDescent="0.3">
      <c r="A59" s="42" t="s">
        <v>26</v>
      </c>
      <c r="B59" s="40" t="str">
        <f>IFERROR(VLOOKUP(A59, Terméklista!I:J, 2, FALSE), "Várom a cikkszámot...")</f>
        <v>prisma30ST</v>
      </c>
      <c r="C59" s="42" t="s">
        <v>288</v>
      </c>
      <c r="D59" s="40" t="str">
        <f>IFERROR(VLOOKUP(C59, Terméklista!I:J, 2, FALSE), "Várom a cikkszámot...")</f>
        <v>Gégecső SomnoBalance és Prisma készülékhez</v>
      </c>
      <c r="E59" s="41" t="s">
        <v>1255</v>
      </c>
    </row>
    <row r="60" spans="1:5" ht="15" customHeight="1" x14ac:dyDescent="0.3">
      <c r="A60" s="42" t="s">
        <v>26</v>
      </c>
      <c r="B60" s="40" t="str">
        <f>IFERROR(VLOOKUP(A60, Terméklista!I:J, 2, FALSE), "Várom a cikkszámot...")</f>
        <v>prisma30ST</v>
      </c>
      <c r="C60" s="42" t="s">
        <v>286</v>
      </c>
      <c r="D60" s="40" t="str">
        <f>IFERROR(VLOOKUP(C60, Terméklista!I:J, 2, FALSE), "Várom a cikkszámot...")</f>
        <v>Gégecső huzat</v>
      </c>
      <c r="E60" s="41" t="s">
        <v>1254</v>
      </c>
    </row>
    <row r="61" spans="1:5" ht="15" customHeight="1" x14ac:dyDescent="0.3">
      <c r="A61" s="42" t="s">
        <v>26</v>
      </c>
      <c r="B61" s="40" t="str">
        <f>IFERROR(VLOOKUP(A61, Terméklista!I:J, 2, FALSE), "Várom a cikkszámot...")</f>
        <v>prisma30ST</v>
      </c>
      <c r="C61" s="42" t="s">
        <v>305</v>
      </c>
      <c r="D61" s="40" t="str">
        <f>IFERROR(VLOOKUP(C61, Terméklista!I:J, 2, FALSE), "Várom a cikkszámot...")</f>
        <v>prisma DC adapter (12/24V)</v>
      </c>
      <c r="E61" s="41" t="s">
        <v>1247</v>
      </c>
    </row>
    <row r="62" spans="1:5" ht="15" customHeight="1" x14ac:dyDescent="0.3">
      <c r="A62" s="42" t="s">
        <v>26</v>
      </c>
      <c r="B62" s="40" t="str">
        <f>IFERROR(VLOOKUP(A62, Terméklista!I:J, 2, FALSE), "Várom a cikkszámot...")</f>
        <v>prisma30ST</v>
      </c>
      <c r="C62" s="42" t="s">
        <v>314</v>
      </c>
      <c r="D62" s="40" t="str">
        <f>IFERROR(VLOOKUP(C62, Terméklista!I:J, 2, FALSE), "Várom a cikkszámot...")</f>
        <v>Csatlakozó kábel (Prisma)</v>
      </c>
      <c r="E62" s="41" t="s">
        <v>1247</v>
      </c>
    </row>
    <row r="63" spans="1:5" ht="15" customHeight="1" x14ac:dyDescent="0.3">
      <c r="A63" s="42" t="s">
        <v>26</v>
      </c>
      <c r="B63" s="40" t="str">
        <f>IFERROR(VLOOKUP(A63, Terméklista!I:J, 2, FALSE), "Várom a cikkszámot...")</f>
        <v>prisma30ST</v>
      </c>
      <c r="C63" s="42" t="s">
        <v>307</v>
      </c>
      <c r="D63" s="40" t="str">
        <f>IFERROR(VLOOKUP(C63, Terméklista!I:J, 2, FALSE), "Várom a cikkszámot...")</f>
        <v>prisma20A tápegység</v>
      </c>
      <c r="E63" s="41" t="s">
        <v>1243</v>
      </c>
    </row>
    <row r="64" spans="1:5" ht="15" customHeight="1" x14ac:dyDescent="0.3">
      <c r="A64" s="42" t="s">
        <v>26</v>
      </c>
      <c r="B64" s="40" t="str">
        <f>IFERROR(VLOOKUP(A64, Terméklista!I:J, 2, FALSE), "Várom a cikkszámot...")</f>
        <v>prisma30ST</v>
      </c>
      <c r="C64" s="42" t="s">
        <v>320</v>
      </c>
      <c r="D64" s="40" t="str">
        <f>IFERROR(VLOOKUP(C64, Terméklista!I:J, 2, FALSE), "Várom a cikkszámot...")</f>
        <v>Somno SD-kártya</v>
      </c>
      <c r="E64" s="41" t="s">
        <v>1256</v>
      </c>
    </row>
    <row r="65" spans="1:5" ht="15" customHeight="1" x14ac:dyDescent="0.3">
      <c r="A65" s="42" t="s">
        <v>28</v>
      </c>
      <c r="B65" s="40" t="str">
        <f>IFERROR(VLOOKUP(A65, Terméklista!I:J, 2, FALSE), "Várom a cikkszámot...")</f>
        <v>prismaCR</v>
      </c>
      <c r="C65" s="42" t="s">
        <v>165</v>
      </c>
      <c r="D65" s="40" t="str">
        <f>IFERROR(VLOOKUP(C65, Terméklista!I:J, 2, FALSE), "Várom a cikkszámot...")</f>
        <v>Szivacsszűrő Prisma készülékhez 1csomag/2db</v>
      </c>
      <c r="E65" s="41" t="s">
        <v>1247</v>
      </c>
    </row>
    <row r="66" spans="1:5" ht="15" customHeight="1" x14ac:dyDescent="0.3">
      <c r="A66" s="42" t="s">
        <v>28</v>
      </c>
      <c r="B66" s="40" t="str">
        <f>IFERROR(VLOOKUP(A66, Terméklista!I:J, 2, FALSE), "Várom a cikkszámot...")</f>
        <v>prismaCR</v>
      </c>
      <c r="C66" s="42" t="s">
        <v>171</v>
      </c>
      <c r="D66" s="40" t="str">
        <f>IFERROR(VLOOKUP(C66, Terméklista!I:J, 2, FALSE), "Várom a cikkszámot...")</f>
        <v>Pollenszűrő Prisma készülékhez 12db</v>
      </c>
      <c r="E66" s="41" t="s">
        <v>1247</v>
      </c>
    </row>
    <row r="67" spans="1:5" ht="15" customHeight="1" x14ac:dyDescent="0.3">
      <c r="A67" s="42" t="s">
        <v>28</v>
      </c>
      <c r="B67" s="40" t="str">
        <f>IFERROR(VLOOKUP(A67, Terméklista!I:J, 2, FALSE), "Várom a cikkszámot...")</f>
        <v>prismaCR</v>
      </c>
      <c r="C67" s="42" t="s">
        <v>1242</v>
      </c>
      <c r="D67" s="40" t="str">
        <f>IFERROR(VLOOKUP(C67, Terméklista!I:J, 2, FALSE), "Várom a cikkszámot...")</f>
        <v>Baktériumszűrő</v>
      </c>
      <c r="E67" s="41" t="s">
        <v>1254</v>
      </c>
    </row>
    <row r="68" spans="1:5" ht="15" customHeight="1" x14ac:dyDescent="0.3">
      <c r="A68" s="42" t="s">
        <v>28</v>
      </c>
      <c r="B68" s="40" t="str">
        <f>IFERROR(VLOOKUP(A68, Terméklista!I:J, 2, FALSE), "Várom a cikkszámot...")</f>
        <v>prismaCR</v>
      </c>
      <c r="C68" s="42" t="s">
        <v>63</v>
      </c>
      <c r="D68" s="40" t="str">
        <f>IFERROR(VLOOKUP(C68, Terméklista!I:J, 2, FALSE), "Várom a cikkszámot...")</f>
        <v>Prisma Aqua párásító fekete</v>
      </c>
      <c r="E68" s="41" t="s">
        <v>1243</v>
      </c>
    </row>
    <row r="69" spans="1:5" ht="15" customHeight="1" x14ac:dyDescent="0.3">
      <c r="A69" s="42" t="s">
        <v>28</v>
      </c>
      <c r="B69" s="40" t="str">
        <f>IFERROR(VLOOKUP(A69, Terméklista!I:J, 2, FALSE), "Várom a cikkszámot...")</f>
        <v>prismaCR</v>
      </c>
      <c r="C69" s="42" t="s">
        <v>288</v>
      </c>
      <c r="D69" s="40" t="str">
        <f>IFERROR(VLOOKUP(C69, Terméklista!I:J, 2, FALSE), "Várom a cikkszámot...")</f>
        <v>Gégecső SomnoBalance és Prisma készülékhez</v>
      </c>
      <c r="E69" s="41" t="s">
        <v>1255</v>
      </c>
    </row>
    <row r="70" spans="1:5" ht="15" customHeight="1" x14ac:dyDescent="0.3">
      <c r="A70" s="42" t="s">
        <v>28</v>
      </c>
      <c r="B70" s="40" t="str">
        <f>IFERROR(VLOOKUP(A70, Terméklista!I:J, 2, FALSE), "Várom a cikkszámot...")</f>
        <v>prismaCR</v>
      </c>
      <c r="C70" s="42" t="s">
        <v>286</v>
      </c>
      <c r="D70" s="40" t="str">
        <f>IFERROR(VLOOKUP(C70, Terméklista!I:J, 2, FALSE), "Várom a cikkszámot...")</f>
        <v>Gégecső huzat</v>
      </c>
      <c r="E70" s="41" t="s">
        <v>1254</v>
      </c>
    </row>
    <row r="71" spans="1:5" ht="15" customHeight="1" x14ac:dyDescent="0.3">
      <c r="A71" s="42" t="s">
        <v>28</v>
      </c>
      <c r="B71" s="40" t="str">
        <f>IFERROR(VLOOKUP(A71, Terméklista!I:J, 2, FALSE), "Várom a cikkszámot...")</f>
        <v>prismaCR</v>
      </c>
      <c r="C71" s="42" t="s">
        <v>305</v>
      </c>
      <c r="D71" s="40" t="str">
        <f>IFERROR(VLOOKUP(C71, Terméklista!I:J, 2, FALSE), "Várom a cikkszámot...")</f>
        <v>prisma DC adapter (12/24V)</v>
      </c>
      <c r="E71" s="41" t="s">
        <v>1247</v>
      </c>
    </row>
    <row r="72" spans="1:5" ht="15" customHeight="1" x14ac:dyDescent="0.3">
      <c r="A72" s="42" t="s">
        <v>28</v>
      </c>
      <c r="B72" s="40" t="str">
        <f>IFERROR(VLOOKUP(A72, Terméklista!I:J, 2, FALSE), "Várom a cikkszámot...")</f>
        <v>prismaCR</v>
      </c>
      <c r="C72" s="42" t="s">
        <v>314</v>
      </c>
      <c r="D72" s="40" t="str">
        <f>IFERROR(VLOOKUP(C72, Terméklista!I:J, 2, FALSE), "Várom a cikkszámot...")</f>
        <v>Csatlakozó kábel (Prisma)</v>
      </c>
      <c r="E72" s="41" t="s">
        <v>1247</v>
      </c>
    </row>
    <row r="73" spans="1:5" ht="15" customHeight="1" x14ac:dyDescent="0.3">
      <c r="A73" s="42" t="s">
        <v>28</v>
      </c>
      <c r="B73" s="40" t="str">
        <f>IFERROR(VLOOKUP(A73, Terméklista!I:J, 2, FALSE), "Várom a cikkszámot...")</f>
        <v>prismaCR</v>
      </c>
      <c r="C73" s="42" t="s">
        <v>307</v>
      </c>
      <c r="D73" s="40" t="str">
        <f>IFERROR(VLOOKUP(C73, Terméklista!I:J, 2, FALSE), "Várom a cikkszámot...")</f>
        <v>prisma20A tápegység</v>
      </c>
      <c r="E73" s="41" t="s">
        <v>1243</v>
      </c>
    </row>
    <row r="74" spans="1:5" ht="15" customHeight="1" x14ac:dyDescent="0.3">
      <c r="A74" s="42" t="s">
        <v>28</v>
      </c>
      <c r="B74" s="40" t="str">
        <f>IFERROR(VLOOKUP(A74, Terméklista!I:J, 2, FALSE), "Várom a cikkszámot...")</f>
        <v>prismaCR</v>
      </c>
      <c r="C74" s="42" t="s">
        <v>320</v>
      </c>
      <c r="D74" s="40" t="str">
        <f>IFERROR(VLOOKUP(C74, Terméklista!I:J, 2, FALSE), "Várom a cikkszámot...")</f>
        <v>Somno SD-kártya</v>
      </c>
      <c r="E74" s="41" t="s">
        <v>1256</v>
      </c>
    </row>
    <row r="75" spans="1:5" ht="15" customHeight="1" x14ac:dyDescent="0.3">
      <c r="A75" s="42" t="s">
        <v>877</v>
      </c>
      <c r="B75" s="40" t="str">
        <f>IFERROR(VLOOKUP(A75, Terméklista!I:J, 2, FALSE), "Várom a cikkszámot...")</f>
        <v>SomnoBalance (e) auto cpap fehér</v>
      </c>
      <c r="C75" s="42" t="s">
        <v>167</v>
      </c>
      <c r="D75" s="40" t="str">
        <f>IFERROR(VLOOKUP(C75, Terméklista!I:J, 2, FALSE), "Várom a cikkszámot...")</f>
        <v>Szivacsszűrő SomnoBalance készülékhez 1csomag/2db</v>
      </c>
      <c r="E75" s="41" t="s">
        <v>1253</v>
      </c>
    </row>
    <row r="76" spans="1:5" ht="15" customHeight="1" x14ac:dyDescent="0.3">
      <c r="A76" s="42" t="s">
        <v>877</v>
      </c>
      <c r="B76" s="40" t="str">
        <f>IFERROR(VLOOKUP(A76, Terméklista!I:J, 2, FALSE), "Várom a cikkszámot...")</f>
        <v>SomnoBalance (e) auto cpap fehér</v>
      </c>
      <c r="C76" s="42" t="s">
        <v>175</v>
      </c>
      <c r="D76" s="40" t="str">
        <f>IFERROR(VLOOKUP(C76, Terméklista!I:J, 2, FALSE), "Várom a cikkszámot...")</f>
        <v>Várom a cikkszámot...</v>
      </c>
      <c r="E76" s="41" t="s">
        <v>1253</v>
      </c>
    </row>
    <row r="77" spans="1:5" ht="15" customHeight="1" x14ac:dyDescent="0.3">
      <c r="A77" s="42" t="s">
        <v>877</v>
      </c>
      <c r="B77" s="40" t="str">
        <f>IFERROR(VLOOKUP(A77, Terméklista!I:J, 2, FALSE), "Várom a cikkszámot...")</f>
        <v>SomnoBalance (e) auto cpap fehér</v>
      </c>
      <c r="C77" s="42" t="s">
        <v>1242</v>
      </c>
      <c r="D77" s="40" t="str">
        <f>IFERROR(VLOOKUP(C77, Terméklista!I:J, 2, FALSE), "Várom a cikkszámot...")</f>
        <v>Baktériumszűrő</v>
      </c>
      <c r="E77" s="41" t="s">
        <v>1254</v>
      </c>
    </row>
    <row r="78" spans="1:5" ht="15" customHeight="1" x14ac:dyDescent="0.3">
      <c r="A78" s="42" t="s">
        <v>877</v>
      </c>
      <c r="B78" s="40" t="str">
        <f>IFERROR(VLOOKUP(A78, Terméklista!I:J, 2, FALSE), "Várom a cikkszámot...")</f>
        <v>SomnoBalance (e) auto cpap fehér</v>
      </c>
      <c r="C78" s="42" t="s">
        <v>66</v>
      </c>
      <c r="D78" s="40" t="str">
        <f>IFERROR(VLOOKUP(C78, Terméklista!I:J, 2, FALSE), "Várom a cikkszámot...")</f>
        <v>SomnoAqua fűtött párásító</v>
      </c>
      <c r="E78" s="41" t="s">
        <v>1253</v>
      </c>
    </row>
    <row r="79" spans="1:5" ht="15" customHeight="1" x14ac:dyDescent="0.3">
      <c r="A79" s="42" t="s">
        <v>877</v>
      </c>
      <c r="B79" s="40" t="str">
        <f>IFERROR(VLOOKUP(A79, Terméklista!I:J, 2, FALSE), "Várom a cikkszámot...")</f>
        <v>SomnoBalance (e) auto cpap fehér</v>
      </c>
      <c r="C79" s="42" t="s">
        <v>297</v>
      </c>
      <c r="D79" s="40" t="str">
        <f>IFERROR(VLOOKUP(C79, Terméklista!I:J, 2, FALSE), "Várom a cikkszámot...")</f>
        <v>SOMNOaqua párásító dugó</v>
      </c>
      <c r="E79" s="41" t="s">
        <v>1253</v>
      </c>
    </row>
    <row r="80" spans="1:5" ht="15" customHeight="1" x14ac:dyDescent="0.3">
      <c r="A80" s="42" t="s">
        <v>877</v>
      </c>
      <c r="B80" s="40" t="str">
        <f>IFERROR(VLOOKUP(A80, Terméklista!I:J, 2, FALSE), "Várom a cikkszámot...")</f>
        <v>SomnoBalance (e) auto cpap fehér</v>
      </c>
      <c r="C80" s="42" t="s">
        <v>299</v>
      </c>
      <c r="D80" s="40" t="str">
        <f>IFERROR(VLOOKUP(C80, Terméklista!I:J, 2, FALSE), "Várom a cikkszámot...")</f>
        <v>Várom a cikkszámot...</v>
      </c>
      <c r="E80" s="41" t="s">
        <v>1253</v>
      </c>
    </row>
    <row r="81" spans="1:5" ht="15" customHeight="1" x14ac:dyDescent="0.3">
      <c r="A81" s="42" t="s">
        <v>877</v>
      </c>
      <c r="B81" s="40" t="str">
        <f>IFERROR(VLOOKUP(A81, Terméklista!I:J, 2, FALSE), "Várom a cikkszámot...")</f>
        <v>SomnoBalance (e) auto cpap fehér</v>
      </c>
      <c r="C81" s="42" t="s">
        <v>288</v>
      </c>
      <c r="D81" s="40" t="str">
        <f>IFERROR(VLOOKUP(C81, Terméklista!I:J, 2, FALSE), "Várom a cikkszámot...")</f>
        <v>Gégecső SomnoBalance és Prisma készülékhez</v>
      </c>
      <c r="E81" s="41" t="s">
        <v>1255</v>
      </c>
    </row>
    <row r="82" spans="1:5" ht="15" customHeight="1" x14ac:dyDescent="0.3">
      <c r="A82" s="42" t="s">
        <v>877</v>
      </c>
      <c r="B82" s="40" t="str">
        <f>IFERROR(VLOOKUP(A82, Terméklista!I:J, 2, FALSE), "Várom a cikkszámot...")</f>
        <v>SomnoBalance (e) auto cpap fehér</v>
      </c>
      <c r="C82" s="42" t="s">
        <v>309</v>
      </c>
      <c r="D82" s="40" t="str">
        <f>IFERROR(VLOOKUP(C82, Terméklista!I:J, 2, FALSE), "Várom a cikkszámot...")</f>
        <v>SOMNObalance tápegység</v>
      </c>
      <c r="E82" s="41" t="s">
        <v>1253</v>
      </c>
    </row>
    <row r="83" spans="1:5" ht="15" customHeight="1" x14ac:dyDescent="0.3">
      <c r="A83" s="42" t="s">
        <v>877</v>
      </c>
      <c r="B83" s="40" t="str">
        <f>IFERROR(VLOOKUP(A83, Terméklista!I:J, 2, FALSE), "Várom a cikkszámot...")</f>
        <v>SomnoBalance (e) auto cpap fehér</v>
      </c>
      <c r="C83" s="42" t="s">
        <v>320</v>
      </c>
      <c r="D83" s="40" t="str">
        <f>IFERROR(VLOOKUP(C83, Terméklista!I:J, 2, FALSE), "Várom a cikkszámot...")</f>
        <v>Somno SD-kártya</v>
      </c>
      <c r="E83" s="41" t="s">
        <v>1256</v>
      </c>
    </row>
    <row r="84" spans="1:5" ht="15" customHeight="1" x14ac:dyDescent="0.3">
      <c r="A84" s="42" t="s">
        <v>877</v>
      </c>
      <c r="B84" s="40" t="str">
        <f>IFERROR(VLOOKUP(A84, Terméklista!I:J, 2, FALSE), "Várom a cikkszámot...")</f>
        <v>SomnoBalance (e) auto cpap fehér</v>
      </c>
      <c r="C84" s="42" t="s">
        <v>286</v>
      </c>
      <c r="D84" s="40" t="str">
        <f>IFERROR(VLOOKUP(C84, Terméklista!I:J, 2, FALSE), "Várom a cikkszámot...")</f>
        <v>Gégecső huzat</v>
      </c>
      <c r="E84" s="41" t="s">
        <v>1254</v>
      </c>
    </row>
    <row r="85" spans="1:5" ht="15" customHeight="1" x14ac:dyDescent="0.3">
      <c r="A85" s="42"/>
      <c r="B85" s="40" t="str">
        <f>IFERROR(VLOOKUP(A85, Terméklista!I:J, 2, FALSE), "Várom a cikkszámot...")</f>
        <v>Várom a cikkszámot...</v>
      </c>
      <c r="C85" s="42"/>
      <c r="D85" s="40" t="str">
        <f>IFERROR(VLOOKUP(C85, Terméklista!I:J, 2, FALSE), "Várom a cikkszámot...")</f>
        <v>Várom a cikkszámot...</v>
      </c>
      <c r="E85" s="40"/>
    </row>
    <row r="86" spans="1:5" ht="15" customHeight="1" x14ac:dyDescent="0.3">
      <c r="A86" s="42"/>
      <c r="B86" s="40" t="str">
        <f>IFERROR(VLOOKUP(A86, Terméklista!I:J, 2, FALSE), "Várom a cikkszámot...")</f>
        <v>Várom a cikkszámot...</v>
      </c>
      <c r="C86" s="42"/>
      <c r="D86" s="40" t="str">
        <f>IFERROR(VLOOKUP(C86, Terméklista!I:J, 2, FALSE), "Várom a cikkszámot...")</f>
        <v>Várom a cikkszámot...</v>
      </c>
      <c r="E86" s="40"/>
    </row>
    <row r="87" spans="1:5" ht="15" customHeight="1" x14ac:dyDescent="0.3">
      <c r="A87" s="42"/>
      <c r="B87" s="40" t="str">
        <f>IFERROR(VLOOKUP(A87, Terméklista!I:J, 2, FALSE), "Várom a cikkszámot...")</f>
        <v>Várom a cikkszámot...</v>
      </c>
      <c r="C87" s="42"/>
      <c r="D87" s="40" t="str">
        <f>IFERROR(VLOOKUP(C87, Terméklista!I:J, 2, FALSE), "Várom a cikkszámot...")</f>
        <v>Várom a cikkszámot...</v>
      </c>
      <c r="E87" s="40"/>
    </row>
    <row r="88" spans="1:5" ht="15" customHeight="1" x14ac:dyDescent="0.3">
      <c r="A88" s="42"/>
      <c r="B88" s="40" t="str">
        <f>IFERROR(VLOOKUP(A88, Terméklista!I:J, 2, FALSE), "Várom a cikkszámot...")</f>
        <v>Várom a cikkszámot...</v>
      </c>
      <c r="C88" s="42"/>
      <c r="D88" s="40" t="str">
        <f>IFERROR(VLOOKUP(C88, Terméklista!I:J, 2, FALSE), "Várom a cikkszámot...")</f>
        <v>Várom a cikkszámot...</v>
      </c>
      <c r="E88" s="40"/>
    </row>
    <row r="89" spans="1:5" ht="15" customHeight="1" x14ac:dyDescent="0.3">
      <c r="A89" s="42"/>
      <c r="B89" s="40" t="str">
        <f>IFERROR(VLOOKUP(A89, Terméklista!I:J, 2, FALSE), "Várom a cikkszámot...")</f>
        <v>Várom a cikkszámot...</v>
      </c>
      <c r="C89" s="42"/>
      <c r="D89" s="40" t="str">
        <f>IFERROR(VLOOKUP(C89, Terméklista!I:J, 2, FALSE), "Várom a cikkszámot...")</f>
        <v>Várom a cikkszámot...</v>
      </c>
      <c r="E89" s="40"/>
    </row>
    <row r="90" spans="1:5" ht="15" customHeight="1" x14ac:dyDescent="0.3">
      <c r="A90" s="42"/>
      <c r="B90" s="40" t="str">
        <f>IFERROR(VLOOKUP(A90, Terméklista!I:J, 2, FALSE), "Várom a cikkszámot...")</f>
        <v>Várom a cikkszámot...</v>
      </c>
      <c r="C90" s="42"/>
      <c r="D90" s="40" t="str">
        <f>IFERROR(VLOOKUP(C90, Terméklista!I:J, 2, FALSE), "Várom a cikkszámot...")</f>
        <v>Várom a cikkszámot...</v>
      </c>
      <c r="E90" s="40"/>
    </row>
    <row r="91" spans="1:5" ht="15" customHeight="1" x14ac:dyDescent="0.3">
      <c r="A91" s="42"/>
      <c r="B91" s="40" t="str">
        <f>IFERROR(VLOOKUP(A91, Terméklista!I:J, 2, FALSE), "Várom a cikkszámot...")</f>
        <v>Várom a cikkszámot...</v>
      </c>
      <c r="C91" s="42"/>
      <c r="D91" s="40" t="str">
        <f>IFERROR(VLOOKUP(C91, Terméklista!I:J, 2, FALSE), "Várom a cikkszámot...")</f>
        <v>Várom a cikkszámot...</v>
      </c>
      <c r="E91" s="40"/>
    </row>
    <row r="92" spans="1:5" ht="15" customHeight="1" x14ac:dyDescent="0.3">
      <c r="A92" s="42"/>
      <c r="B92" s="40" t="str">
        <f>IFERROR(VLOOKUP(A92, Terméklista!I:J, 2, FALSE), "Várom a cikkszámot...")</f>
        <v>Várom a cikkszámot...</v>
      </c>
      <c r="C92" s="42"/>
      <c r="D92" s="40" t="str">
        <f>IFERROR(VLOOKUP(C92, Terméklista!I:J, 2, FALSE), "Várom a cikkszámot...")</f>
        <v>Várom a cikkszámot...</v>
      </c>
      <c r="E92" s="40"/>
    </row>
    <row r="93" spans="1:5" ht="15" customHeight="1" x14ac:dyDescent="0.3">
      <c r="A93" s="42"/>
      <c r="B93" s="40" t="str">
        <f>IFERROR(VLOOKUP(A93, Terméklista!I:J, 2, FALSE), "Várom a cikkszámot...")</f>
        <v>Várom a cikkszámot...</v>
      </c>
      <c r="C93" s="42"/>
      <c r="D93" s="40" t="str">
        <f>IFERROR(VLOOKUP(C93, Terméklista!I:J, 2, FALSE), "Várom a cikkszámot...")</f>
        <v>Várom a cikkszámot...</v>
      </c>
      <c r="E93" s="40"/>
    </row>
    <row r="94" spans="1:5" ht="15" customHeight="1" x14ac:dyDescent="0.3">
      <c r="A94" s="42"/>
      <c r="B94" s="40" t="str">
        <f>IFERROR(VLOOKUP(A94, Terméklista!I:J, 2, FALSE), "Várom a cikkszámot...")</f>
        <v>Várom a cikkszámot...</v>
      </c>
      <c r="C94" s="42"/>
      <c r="D94" s="40" t="str">
        <f>IFERROR(VLOOKUP(C94, Terméklista!I:J, 2, FALSE), "Várom a cikkszámot...")</f>
        <v>Várom a cikkszámot...</v>
      </c>
      <c r="E94" s="40"/>
    </row>
    <row r="95" spans="1:5" ht="15" customHeight="1" x14ac:dyDescent="0.3">
      <c r="A95" s="42"/>
      <c r="B95" s="40" t="str">
        <f>IFERROR(VLOOKUP(A95, Terméklista!I:J, 2, FALSE), "Várom a cikkszámot...")</f>
        <v>Várom a cikkszámot...</v>
      </c>
      <c r="C95" s="42"/>
      <c r="D95" s="40" t="str">
        <f>IFERROR(VLOOKUP(C95, Terméklista!I:J, 2, FALSE), "Várom a cikkszámot...")</f>
        <v>Várom a cikkszámot...</v>
      </c>
      <c r="E95" s="40"/>
    </row>
    <row r="96" spans="1:5" ht="15" customHeight="1" x14ac:dyDescent="0.3">
      <c r="A96" s="42"/>
      <c r="B96" s="40" t="str">
        <f>IFERROR(VLOOKUP(A96, Terméklista!I:J, 2, FALSE), "Várom a cikkszámot...")</f>
        <v>Várom a cikkszámot...</v>
      </c>
      <c r="C96" s="42"/>
      <c r="D96" s="40" t="str">
        <f>IFERROR(VLOOKUP(C96, Terméklista!I:J, 2, FALSE), "Várom a cikkszámot...")</f>
        <v>Várom a cikkszámot...</v>
      </c>
      <c r="E96" s="40"/>
    </row>
    <row r="97" spans="1:5" ht="15" customHeight="1" x14ac:dyDescent="0.3">
      <c r="A97" s="42"/>
      <c r="B97" s="40" t="str">
        <f>IFERROR(VLOOKUP(A97, Terméklista!I:J, 2, FALSE), "Várom a cikkszámot...")</f>
        <v>Várom a cikkszámot...</v>
      </c>
      <c r="C97" s="42"/>
      <c r="D97" s="40" t="str">
        <f>IFERROR(VLOOKUP(C97, Terméklista!I:J, 2, FALSE), "Várom a cikkszámot...")</f>
        <v>Várom a cikkszámot...</v>
      </c>
      <c r="E97" s="40"/>
    </row>
    <row r="98" spans="1:5" ht="15" customHeight="1" x14ac:dyDescent="0.3">
      <c r="A98" s="42"/>
      <c r="B98" s="40" t="str">
        <f>IFERROR(VLOOKUP(A98, Terméklista!I:J, 2, FALSE), "Várom a cikkszámot...")</f>
        <v>Várom a cikkszámot...</v>
      </c>
      <c r="C98" s="42"/>
      <c r="D98" s="40" t="str">
        <f>IFERROR(VLOOKUP(C98, Terméklista!I:J, 2, FALSE), "Várom a cikkszámot...")</f>
        <v>Várom a cikkszámot...</v>
      </c>
      <c r="E98" s="40"/>
    </row>
    <row r="99" spans="1:5" ht="15" customHeight="1" x14ac:dyDescent="0.3">
      <c r="A99" s="42"/>
      <c r="B99" s="40" t="str">
        <f>IFERROR(VLOOKUP(A99, Terméklista!I:J, 2, FALSE), "Várom a cikkszámot...")</f>
        <v>Várom a cikkszámot...</v>
      </c>
      <c r="C99" s="42"/>
      <c r="D99" s="40" t="str">
        <f>IFERROR(VLOOKUP(C99, Terméklista!I:J, 2, FALSE), "Várom a cikkszámot...")</f>
        <v>Várom a cikkszámot...</v>
      </c>
      <c r="E99" s="40"/>
    </row>
    <row r="100" spans="1:5" ht="15" customHeight="1" x14ac:dyDescent="0.3">
      <c r="A100" s="42"/>
      <c r="B100" s="40" t="str">
        <f>IFERROR(VLOOKUP(A100, Terméklista!I:J, 2, FALSE), "Várom a cikkszámot...")</f>
        <v>Várom a cikkszámot...</v>
      </c>
      <c r="C100" s="42"/>
      <c r="D100" s="40" t="str">
        <f>IFERROR(VLOOKUP(C100, Terméklista!I:J, 2, FALSE), "Várom a cikkszámot...")</f>
        <v>Várom a cikkszámot...</v>
      </c>
      <c r="E100" s="40"/>
    </row>
    <row r="101" spans="1:5" ht="15" customHeight="1" x14ac:dyDescent="0.3">
      <c r="A101" s="42"/>
      <c r="B101" s="40" t="str">
        <f>IFERROR(VLOOKUP(A101, Terméklista!I:J, 2, FALSE), "Várom a cikkszámot...")</f>
        <v>Várom a cikkszámot...</v>
      </c>
      <c r="C101" s="42"/>
      <c r="D101" s="40" t="str">
        <f>IFERROR(VLOOKUP(C101, Terméklista!I:J, 2, FALSE), "Várom a cikkszámot...")</f>
        <v>Várom a cikkszámot...</v>
      </c>
      <c r="E101" s="40"/>
    </row>
    <row r="102" spans="1:5" ht="15" customHeight="1" x14ac:dyDescent="0.3">
      <c r="A102" s="42"/>
      <c r="B102" s="40" t="str">
        <f>IFERROR(VLOOKUP(A102, Terméklista!I:J, 2, FALSE), "Várom a cikkszámot...")</f>
        <v>Várom a cikkszámot...</v>
      </c>
      <c r="C102" s="42"/>
      <c r="D102" s="40" t="str">
        <f>IFERROR(VLOOKUP(C102, Terméklista!I:J, 2, FALSE), "Várom a cikkszámot...")</f>
        <v>Várom a cikkszámot...</v>
      </c>
      <c r="E102" s="40"/>
    </row>
    <row r="103" spans="1:5" ht="15" customHeight="1" x14ac:dyDescent="0.3">
      <c r="A103" s="42"/>
      <c r="B103" s="40" t="str">
        <f>IFERROR(VLOOKUP(A103, Terméklista!I:J, 2, FALSE), "Várom a cikkszámot...")</f>
        <v>Várom a cikkszámot...</v>
      </c>
      <c r="C103" s="42"/>
      <c r="D103" s="40" t="str">
        <f>IFERROR(VLOOKUP(C103, Terméklista!I:J, 2, FALSE), "Várom a cikkszámot...")</f>
        <v>Várom a cikkszámot...</v>
      </c>
      <c r="E103" s="40"/>
    </row>
    <row r="104" spans="1:5" ht="15" customHeight="1" x14ac:dyDescent="0.3">
      <c r="A104" s="42"/>
      <c r="B104" s="40" t="str">
        <f>IFERROR(VLOOKUP(A104, Terméklista!I:J, 2, FALSE), "Várom a cikkszámot...")</f>
        <v>Várom a cikkszámot...</v>
      </c>
      <c r="C104" s="42"/>
      <c r="D104" s="40" t="str">
        <f>IFERROR(VLOOKUP(C104, Terméklista!I:J, 2, FALSE), "Várom a cikkszámot...")</f>
        <v>Várom a cikkszámot...</v>
      </c>
      <c r="E104" s="40"/>
    </row>
    <row r="105" spans="1:5" ht="15" customHeight="1" x14ac:dyDescent="0.3">
      <c r="A105" s="42"/>
      <c r="B105" s="40" t="str">
        <f>IFERROR(VLOOKUP(A105, Terméklista!I:J, 2, FALSE), "Várom a cikkszámot...")</f>
        <v>Várom a cikkszámot...</v>
      </c>
      <c r="C105" s="42"/>
      <c r="D105" s="40" t="str">
        <f>IFERROR(VLOOKUP(C105, Terméklista!I:J, 2, FALSE), "Várom a cikkszámot...")</f>
        <v>Várom a cikkszámot...</v>
      </c>
      <c r="E105" s="40"/>
    </row>
    <row r="106" spans="1:5" ht="15" customHeight="1" x14ac:dyDescent="0.3">
      <c r="A106" s="42"/>
      <c r="B106" s="40" t="str">
        <f>IFERROR(VLOOKUP(A106, Terméklista!I:J, 2, FALSE), "Várom a cikkszámot...")</f>
        <v>Várom a cikkszámot...</v>
      </c>
      <c r="C106" s="42"/>
      <c r="D106" s="40" t="str">
        <f>IFERROR(VLOOKUP(C106, Terméklista!I:J, 2, FALSE), "Várom a cikkszámot...")</f>
        <v>Várom a cikkszámot...</v>
      </c>
      <c r="E106" s="40"/>
    </row>
    <row r="107" spans="1:5" ht="15" customHeight="1" x14ac:dyDescent="0.3">
      <c r="A107" s="42"/>
      <c r="B107" s="40" t="str">
        <f>IFERROR(VLOOKUP(A107, Terméklista!I:J, 2, FALSE), "Várom a cikkszámot...")</f>
        <v>Várom a cikkszámot...</v>
      </c>
      <c r="C107" s="42"/>
      <c r="D107" s="40" t="str">
        <f>IFERROR(VLOOKUP(C107, Terméklista!I:J, 2, FALSE), "Várom a cikkszámot...")</f>
        <v>Várom a cikkszámot...</v>
      </c>
      <c r="E107" s="40"/>
    </row>
    <row r="108" spans="1:5" ht="15" customHeight="1" x14ac:dyDescent="0.3">
      <c r="A108" s="42"/>
      <c r="B108" s="40" t="str">
        <f>IFERROR(VLOOKUP(A108, Terméklista!I:J, 2, FALSE), "Várom a cikkszámot...")</f>
        <v>Várom a cikkszámot...</v>
      </c>
      <c r="C108" s="42"/>
      <c r="D108" s="40" t="str">
        <f>IFERROR(VLOOKUP(C108, Terméklista!I:J, 2, FALSE), "Várom a cikkszámot...")</f>
        <v>Várom a cikkszámot...</v>
      </c>
      <c r="E108" s="40"/>
    </row>
    <row r="109" spans="1:5" ht="15" customHeight="1" x14ac:dyDescent="0.3">
      <c r="A109" s="42"/>
      <c r="B109" s="40" t="str">
        <f>IFERROR(VLOOKUP(A109, Terméklista!I:J, 2, FALSE), "Várom a cikkszámot...")</f>
        <v>Várom a cikkszámot...</v>
      </c>
      <c r="C109" s="42"/>
      <c r="D109" s="40" t="str">
        <f>IFERROR(VLOOKUP(C109, Terméklista!I:J, 2, FALSE), "Várom a cikkszámot...")</f>
        <v>Várom a cikkszámot...</v>
      </c>
      <c r="E109" s="40"/>
    </row>
    <row r="110" spans="1:5" ht="15" customHeight="1" x14ac:dyDescent="0.3">
      <c r="A110" s="42"/>
      <c r="B110" s="40" t="str">
        <f>IFERROR(VLOOKUP(A110, Terméklista!I:J, 2, FALSE), "Várom a cikkszámot...")</f>
        <v>Várom a cikkszámot...</v>
      </c>
      <c r="C110" s="42"/>
      <c r="D110" s="40" t="str">
        <f>IFERROR(VLOOKUP(C110, Terméklista!I:J, 2, FALSE), "Várom a cikkszámot...")</f>
        <v>Várom a cikkszámot...</v>
      </c>
      <c r="E110" s="40"/>
    </row>
    <row r="111" spans="1:5" ht="15" customHeight="1" x14ac:dyDescent="0.3">
      <c r="A111" s="42"/>
      <c r="B111" s="40" t="str">
        <f>IFERROR(VLOOKUP(A111, Terméklista!I:J, 2, FALSE), "Várom a cikkszámot...")</f>
        <v>Várom a cikkszámot...</v>
      </c>
      <c r="C111" s="42"/>
      <c r="D111" s="40" t="str">
        <f>IFERROR(VLOOKUP(C111, Terméklista!I:J, 2, FALSE), "Várom a cikkszámot...")</f>
        <v>Várom a cikkszámot...</v>
      </c>
      <c r="E111" s="40"/>
    </row>
    <row r="112" spans="1:5" ht="15" customHeight="1" x14ac:dyDescent="0.3">
      <c r="A112" s="42"/>
      <c r="B112" s="40"/>
      <c r="C112" s="42"/>
      <c r="D112" s="40"/>
      <c r="E112" s="40"/>
    </row>
    <row r="113" spans="1:5" ht="15" customHeight="1" x14ac:dyDescent="0.3">
      <c r="A113" s="42"/>
      <c r="B113" s="40"/>
      <c r="C113" s="42"/>
      <c r="D113" s="40"/>
      <c r="E113" s="40"/>
    </row>
    <row r="114" spans="1:5" ht="15" customHeight="1" x14ac:dyDescent="0.3">
      <c r="A114" s="42"/>
      <c r="B114" s="40"/>
      <c r="C114" s="42"/>
      <c r="D114" s="40"/>
      <c r="E114" s="40"/>
    </row>
    <row r="115" spans="1:5" ht="15" customHeight="1" x14ac:dyDescent="0.3">
      <c r="A115" s="42"/>
      <c r="B115" s="40"/>
      <c r="C115" s="42"/>
      <c r="D115" s="40"/>
      <c r="E115" s="40"/>
    </row>
    <row r="116" spans="1:5" ht="15" customHeight="1" x14ac:dyDescent="0.3">
      <c r="A116" s="42"/>
      <c r="B116" s="40"/>
      <c r="C116" s="42"/>
      <c r="D116" s="40"/>
      <c r="E116" s="40"/>
    </row>
    <row r="117" spans="1:5" ht="15" customHeight="1" x14ac:dyDescent="0.3">
      <c r="A117" s="42"/>
      <c r="B117" s="40"/>
      <c r="C117" s="42"/>
      <c r="D117" s="40"/>
      <c r="E117" s="40"/>
    </row>
    <row r="118" spans="1:5" ht="15" customHeight="1" x14ac:dyDescent="0.3">
      <c r="A118" s="42"/>
      <c r="B118" s="40"/>
      <c r="C118" s="42"/>
      <c r="D118" s="40"/>
      <c r="E118" s="40"/>
    </row>
    <row r="119" spans="1:5" ht="15" customHeight="1" x14ac:dyDescent="0.3">
      <c r="A119" s="42"/>
      <c r="B119" s="40"/>
      <c r="C119" s="42"/>
      <c r="D119" s="40"/>
      <c r="E119" s="40"/>
    </row>
    <row r="120" spans="1:5" ht="15" customHeight="1" x14ac:dyDescent="0.3">
      <c r="A120" s="42"/>
      <c r="B120" s="40"/>
      <c r="C120" s="42"/>
      <c r="D120" s="40"/>
      <c r="E120" s="40"/>
    </row>
    <row r="121" spans="1:5" ht="15" customHeight="1" x14ac:dyDescent="0.3">
      <c r="A121" s="42"/>
      <c r="B121" s="40"/>
      <c r="C121" s="42"/>
      <c r="D121" s="40"/>
      <c r="E121" s="40"/>
    </row>
    <row r="122" spans="1:5" ht="15" customHeight="1" x14ac:dyDescent="0.3">
      <c r="A122" s="42"/>
      <c r="B122" s="40"/>
      <c r="C122" s="42"/>
      <c r="D122" s="40"/>
      <c r="E122" s="40"/>
    </row>
    <row r="123" spans="1:5" ht="15" customHeight="1" x14ac:dyDescent="0.3">
      <c r="A123" s="42"/>
      <c r="B123" s="40"/>
      <c r="C123" s="42"/>
      <c r="D123" s="40"/>
      <c r="E123" s="40"/>
    </row>
    <row r="124" spans="1:5" ht="15" customHeight="1" x14ac:dyDescent="0.3">
      <c r="A124" s="42"/>
      <c r="B124" s="40"/>
      <c r="C124" s="42"/>
      <c r="D124" s="40"/>
      <c r="E124" s="40"/>
    </row>
    <row r="125" spans="1:5" ht="15" customHeight="1" x14ac:dyDescent="0.3">
      <c r="A125" s="42"/>
      <c r="B125" s="40"/>
      <c r="C125" s="42"/>
      <c r="D125" s="40"/>
      <c r="E125" s="40"/>
    </row>
    <row r="126" spans="1:5" ht="15" customHeight="1" x14ac:dyDescent="0.3">
      <c r="A126" s="42"/>
      <c r="B126" s="40"/>
      <c r="C126" s="42"/>
      <c r="D126" s="40"/>
      <c r="E126" s="40"/>
    </row>
    <row r="127" spans="1:5" ht="15" customHeight="1" x14ac:dyDescent="0.3">
      <c r="A127" s="42"/>
      <c r="B127" s="40"/>
      <c r="C127" s="42"/>
      <c r="D127" s="40"/>
      <c r="E127" s="40"/>
    </row>
    <row r="128" spans="1:5" ht="15" customHeight="1" x14ac:dyDescent="0.3">
      <c r="A128" s="42"/>
      <c r="B128" s="40"/>
      <c r="C128" s="42"/>
      <c r="D128" s="40"/>
      <c r="E128" s="40"/>
    </row>
    <row r="129" spans="1:5" ht="15" customHeight="1" x14ac:dyDescent="0.3">
      <c r="A129" s="42"/>
      <c r="B129" s="40"/>
      <c r="C129" s="42"/>
      <c r="D129" s="40"/>
      <c r="E129" s="40"/>
    </row>
    <row r="130" spans="1:5" ht="15" customHeight="1" x14ac:dyDescent="0.3">
      <c r="A130" s="42"/>
      <c r="B130" s="40"/>
      <c r="C130" s="42"/>
      <c r="D130" s="40"/>
      <c r="E130" s="40"/>
    </row>
    <row r="131" spans="1:5" ht="15" customHeight="1" x14ac:dyDescent="0.3">
      <c r="A131" s="42"/>
      <c r="B131" s="40"/>
      <c r="C131" s="42"/>
      <c r="D131" s="40"/>
      <c r="E131" s="40"/>
    </row>
    <row r="132" spans="1:5" ht="15" customHeight="1" x14ac:dyDescent="0.3">
      <c r="A132" s="42"/>
      <c r="B132" s="40"/>
      <c r="C132" s="42"/>
      <c r="D132" s="40"/>
      <c r="E132" s="40"/>
    </row>
    <row r="133" spans="1:5" ht="15" customHeight="1" x14ac:dyDescent="0.3">
      <c r="A133" s="42"/>
      <c r="B133" s="40"/>
      <c r="C133" s="42"/>
      <c r="D133" s="40"/>
      <c r="E133" s="40"/>
    </row>
    <row r="134" spans="1:5" ht="15" customHeight="1" x14ac:dyDescent="0.3">
      <c r="A134" s="42"/>
      <c r="B134" s="40"/>
      <c r="C134" s="42"/>
      <c r="D134" s="40"/>
      <c r="E134" s="40"/>
    </row>
    <row r="135" spans="1:5" ht="15" customHeight="1" x14ac:dyDescent="0.3">
      <c r="A135" s="42"/>
      <c r="B135" s="40"/>
      <c r="C135" s="42"/>
      <c r="D135" s="40"/>
      <c r="E135" s="40"/>
    </row>
    <row r="136" spans="1:5" ht="15" customHeight="1" x14ac:dyDescent="0.3">
      <c r="A136" s="42"/>
      <c r="B136" s="40"/>
      <c r="C136" s="42"/>
      <c r="D136" s="40"/>
      <c r="E136" s="40"/>
    </row>
    <row r="137" spans="1:5" ht="15" customHeight="1" x14ac:dyDescent="0.3">
      <c r="A137" s="42"/>
      <c r="B137" s="40"/>
      <c r="C137" s="42"/>
      <c r="D137" s="40"/>
      <c r="E137" s="40"/>
    </row>
    <row r="138" spans="1:5" ht="15" customHeight="1" x14ac:dyDescent="0.3">
      <c r="A138" s="42"/>
      <c r="B138" s="40"/>
      <c r="C138" s="42"/>
      <c r="D138" s="40"/>
      <c r="E138" s="40"/>
    </row>
    <row r="139" spans="1:5" ht="15" customHeight="1" x14ac:dyDescent="0.3">
      <c r="A139" s="42"/>
      <c r="B139" s="40"/>
      <c r="C139" s="42"/>
      <c r="D139" s="40"/>
      <c r="E139" s="40"/>
    </row>
    <row r="140" spans="1:5" ht="15" customHeight="1" x14ac:dyDescent="0.3">
      <c r="A140" s="42"/>
      <c r="B140" s="40"/>
      <c r="C140" s="42"/>
      <c r="D140" s="40"/>
      <c r="E140" s="40"/>
    </row>
    <row r="141" spans="1:5" ht="15" customHeight="1" x14ac:dyDescent="0.3">
      <c r="A141" s="42"/>
      <c r="B141" s="40"/>
      <c r="C141" s="42"/>
      <c r="D141" s="40"/>
      <c r="E141" s="40"/>
    </row>
    <row r="142" spans="1:5" ht="15" customHeight="1" x14ac:dyDescent="0.3">
      <c r="A142" s="42"/>
      <c r="B142" s="40"/>
      <c r="C142" s="42"/>
      <c r="D142" s="40"/>
      <c r="E142" s="40"/>
    </row>
    <row r="143" spans="1:5" ht="15" customHeight="1" x14ac:dyDescent="0.3">
      <c r="A143" s="42"/>
      <c r="B143" s="40"/>
      <c r="C143" s="42"/>
      <c r="D143" s="40"/>
      <c r="E143" s="40"/>
    </row>
    <row r="144" spans="1:5" ht="15" customHeight="1" x14ac:dyDescent="0.3">
      <c r="A144" s="42"/>
      <c r="B144" s="40"/>
      <c r="C144" s="42"/>
      <c r="D144" s="40"/>
      <c r="E144" s="40"/>
    </row>
    <row r="145" spans="1:5" ht="15" customHeight="1" x14ac:dyDescent="0.3">
      <c r="A145" s="42"/>
      <c r="B145" s="40"/>
      <c r="C145" s="42"/>
      <c r="D145" s="40"/>
      <c r="E145" s="40"/>
    </row>
    <row r="146" spans="1:5" ht="15" customHeight="1" x14ac:dyDescent="0.3">
      <c r="A146" s="42"/>
      <c r="B146" s="40"/>
      <c r="C146" s="42"/>
      <c r="D146" s="40"/>
      <c r="E146" s="40"/>
    </row>
    <row r="147" spans="1:5" ht="15" customHeight="1" x14ac:dyDescent="0.3">
      <c r="A147" s="42"/>
      <c r="B147" s="40"/>
      <c r="C147" s="42"/>
      <c r="D147" s="40"/>
      <c r="E147" s="40"/>
    </row>
    <row r="148" spans="1:5" ht="15" customHeight="1" x14ac:dyDescent="0.3">
      <c r="A148" s="42"/>
      <c r="B148" s="40"/>
      <c r="C148" s="42"/>
      <c r="D148" s="40"/>
      <c r="E148" s="40"/>
    </row>
    <row r="149" spans="1:5" ht="15" customHeight="1" x14ac:dyDescent="0.3">
      <c r="A149" s="42"/>
      <c r="B149" s="40"/>
      <c r="C149" s="42"/>
      <c r="D149" s="40"/>
      <c r="E149" s="40"/>
    </row>
    <row r="150" spans="1:5" ht="15" customHeight="1" x14ac:dyDescent="0.3">
      <c r="A150" s="42"/>
      <c r="B150" s="40"/>
      <c r="C150" s="42"/>
      <c r="D150" s="40"/>
      <c r="E150" s="40"/>
    </row>
    <row r="151" spans="1:5" ht="15" customHeight="1" x14ac:dyDescent="0.3">
      <c r="A151" s="42"/>
      <c r="B151" s="40"/>
      <c r="C151" s="42"/>
      <c r="D151" s="40"/>
      <c r="E151" s="40"/>
    </row>
    <row r="152" spans="1:5" ht="15" customHeight="1" x14ac:dyDescent="0.3">
      <c r="A152" s="42"/>
      <c r="B152" s="40"/>
      <c r="C152" s="42"/>
      <c r="D152" s="40"/>
      <c r="E152" s="40"/>
    </row>
    <row r="153" spans="1:5" ht="15" customHeight="1" x14ac:dyDescent="0.3">
      <c r="A153" s="42"/>
      <c r="B153" s="40"/>
      <c r="C153" s="42"/>
      <c r="D153" s="40"/>
      <c r="E153" s="40"/>
    </row>
    <row r="154" spans="1:5" ht="15" customHeight="1" x14ac:dyDescent="0.3">
      <c r="A154" s="42"/>
      <c r="B154" s="40"/>
      <c r="C154" s="42"/>
      <c r="D154" s="40"/>
      <c r="E154" s="40"/>
    </row>
    <row r="155" spans="1:5" ht="15" customHeight="1" x14ac:dyDescent="0.3">
      <c r="A155" s="42"/>
      <c r="B155" s="40"/>
      <c r="C155" s="42"/>
      <c r="D155" s="40"/>
      <c r="E155" s="40"/>
    </row>
    <row r="156" spans="1:5" ht="15" customHeight="1" x14ac:dyDescent="0.3">
      <c r="A156" s="42"/>
      <c r="B156" s="40"/>
      <c r="C156" s="42"/>
      <c r="D156" s="40"/>
      <c r="E156" s="40"/>
    </row>
    <row r="157" spans="1:5" ht="15" customHeight="1" x14ac:dyDescent="0.3">
      <c r="A157" s="42"/>
      <c r="B157" s="40"/>
      <c r="C157" s="42"/>
      <c r="D157" s="40"/>
      <c r="E157" s="40"/>
    </row>
    <row r="158" spans="1:5" ht="15" customHeight="1" x14ac:dyDescent="0.3">
      <c r="A158" s="42"/>
      <c r="B158" s="40"/>
      <c r="C158" s="42"/>
      <c r="D158" s="40"/>
      <c r="E158" s="40"/>
    </row>
    <row r="159" spans="1:5" ht="15" customHeight="1" x14ac:dyDescent="0.3">
      <c r="A159" s="42"/>
      <c r="B159" s="40"/>
      <c r="C159" s="42"/>
      <c r="D159" s="40"/>
      <c r="E159" s="40"/>
    </row>
    <row r="160" spans="1:5" ht="15" customHeight="1" x14ac:dyDescent="0.3">
      <c r="A160" s="42"/>
      <c r="B160" s="40"/>
      <c r="C160" s="42"/>
      <c r="D160" s="40"/>
      <c r="E160" s="40"/>
    </row>
    <row r="161" spans="1:5" ht="15" customHeight="1" x14ac:dyDescent="0.3">
      <c r="A161" s="42"/>
      <c r="B161" s="40"/>
      <c r="C161" s="42"/>
      <c r="D161" s="40"/>
      <c r="E161" s="40"/>
    </row>
    <row r="162" spans="1:5" ht="15" customHeight="1" x14ac:dyDescent="0.3">
      <c r="A162" s="42"/>
      <c r="B162" s="40"/>
      <c r="C162" s="42"/>
      <c r="D162" s="40"/>
      <c r="E162" s="40"/>
    </row>
    <row r="163" spans="1:5" ht="15" customHeight="1" x14ac:dyDescent="0.3">
      <c r="A163" s="42"/>
      <c r="B163" s="40"/>
      <c r="C163" s="42"/>
      <c r="D163" s="40"/>
      <c r="E163" s="40"/>
    </row>
    <row r="164" spans="1:5" ht="15" customHeight="1" x14ac:dyDescent="0.3">
      <c r="A164" s="42"/>
      <c r="B164" s="40"/>
      <c r="C164" s="42"/>
      <c r="D164" s="40"/>
      <c r="E164" s="40"/>
    </row>
    <row r="165" spans="1:5" ht="15" customHeight="1" x14ac:dyDescent="0.3">
      <c r="A165" s="42"/>
      <c r="B165" s="40"/>
      <c r="C165" s="42"/>
      <c r="D165" s="40"/>
      <c r="E165" s="40"/>
    </row>
    <row r="166" spans="1:5" ht="15" customHeight="1" x14ac:dyDescent="0.3">
      <c r="A166" s="42"/>
      <c r="B166" s="40"/>
      <c r="C166" s="42"/>
      <c r="D166" s="40"/>
      <c r="E166" s="40"/>
    </row>
    <row r="167" spans="1:5" ht="15" customHeight="1" x14ac:dyDescent="0.3">
      <c r="A167" s="42"/>
      <c r="B167" s="40"/>
      <c r="C167" s="42"/>
      <c r="D167" s="40"/>
      <c r="E167" s="40"/>
    </row>
    <row r="168" spans="1:5" ht="15" customHeight="1" x14ac:dyDescent="0.3">
      <c r="A168" s="42"/>
      <c r="B168" s="40"/>
      <c r="C168" s="42"/>
      <c r="D168" s="40"/>
      <c r="E168" s="40"/>
    </row>
    <row r="169" spans="1:5" ht="15" customHeight="1" x14ac:dyDescent="0.3">
      <c r="A169" s="42"/>
      <c r="B169" s="40"/>
      <c r="C169" s="42"/>
      <c r="D169" s="40"/>
      <c r="E169" s="40"/>
    </row>
    <row r="170" spans="1:5" ht="15" customHeight="1" x14ac:dyDescent="0.3">
      <c r="A170" s="42"/>
      <c r="B170" s="40"/>
      <c r="C170" s="42"/>
      <c r="D170" s="40"/>
      <c r="E170" s="40"/>
    </row>
    <row r="171" spans="1:5" ht="15" customHeight="1" x14ac:dyDescent="0.3">
      <c r="A171" s="42"/>
      <c r="B171" s="40"/>
      <c r="C171" s="42"/>
      <c r="D171" s="40"/>
      <c r="E171" s="40"/>
    </row>
    <row r="172" spans="1:5" ht="15" customHeight="1" x14ac:dyDescent="0.3">
      <c r="A172" s="42"/>
      <c r="B172" s="40"/>
      <c r="C172" s="42"/>
      <c r="D172" s="40"/>
      <c r="E172" s="40"/>
    </row>
    <row r="173" spans="1:5" ht="15" customHeight="1" x14ac:dyDescent="0.3">
      <c r="A173" s="42"/>
      <c r="B173" s="40"/>
      <c r="C173" s="42"/>
      <c r="D173" s="40"/>
      <c r="E173" s="40"/>
    </row>
    <row r="174" spans="1:5" ht="15" customHeight="1" x14ac:dyDescent="0.3">
      <c r="A174" s="42"/>
      <c r="B174" s="40"/>
      <c r="C174" s="42"/>
      <c r="D174" s="40"/>
      <c r="E174" s="40"/>
    </row>
    <row r="175" spans="1:5" ht="15" customHeight="1" x14ac:dyDescent="0.3">
      <c r="A175" s="42"/>
      <c r="B175" s="40"/>
      <c r="C175" s="42"/>
      <c r="D175" s="40"/>
      <c r="E175" s="40"/>
    </row>
    <row r="176" spans="1:5" ht="15" customHeight="1" x14ac:dyDescent="0.3">
      <c r="A176" s="42"/>
      <c r="B176" s="40"/>
      <c r="C176" s="42"/>
      <c r="D176" s="40"/>
      <c r="E176" s="40"/>
    </row>
    <row r="177" spans="1:5" ht="15" customHeight="1" x14ac:dyDescent="0.3">
      <c r="A177" s="42"/>
      <c r="B177" s="40"/>
      <c r="C177" s="42"/>
      <c r="D177" s="40"/>
      <c r="E177" s="40"/>
    </row>
    <row r="178" spans="1:5" ht="15" customHeight="1" x14ac:dyDescent="0.3">
      <c r="A178" s="42"/>
      <c r="B178" s="40"/>
      <c r="C178" s="42"/>
      <c r="D178" s="40"/>
      <c r="E178" s="40"/>
    </row>
    <row r="179" spans="1:5" ht="15" customHeight="1" x14ac:dyDescent="0.3">
      <c r="A179" s="42"/>
      <c r="B179" s="40"/>
      <c r="C179" s="42"/>
      <c r="D179" s="40"/>
      <c r="E179" s="40"/>
    </row>
    <row r="180" spans="1:5" ht="15" customHeight="1" x14ac:dyDescent="0.3">
      <c r="A180" s="42"/>
      <c r="B180" s="40"/>
      <c r="C180" s="42"/>
      <c r="D180" s="40"/>
      <c r="E180" s="40"/>
    </row>
    <row r="181" spans="1:5" ht="15" customHeight="1" x14ac:dyDescent="0.3">
      <c r="A181" s="42"/>
      <c r="B181" s="40"/>
      <c r="C181" s="42"/>
      <c r="D181" s="40"/>
      <c r="E181" s="40"/>
    </row>
    <row r="182" spans="1:5" ht="15" customHeight="1" x14ac:dyDescent="0.3">
      <c r="A182" s="42"/>
      <c r="B182" s="40"/>
      <c r="C182" s="42"/>
      <c r="D182" s="40"/>
      <c r="E182" s="40"/>
    </row>
    <row r="183" spans="1:5" ht="15" customHeight="1" x14ac:dyDescent="0.3">
      <c r="A183" s="42"/>
      <c r="B183" s="40"/>
      <c r="C183" s="42"/>
      <c r="D183" s="40"/>
      <c r="E183" s="40"/>
    </row>
    <row r="184" spans="1:5" ht="15" customHeight="1" x14ac:dyDescent="0.3">
      <c r="A184" s="42"/>
      <c r="B184" s="40"/>
      <c r="C184" s="42"/>
      <c r="D184" s="40"/>
      <c r="E184" s="40"/>
    </row>
    <row r="185" spans="1:5" ht="15" customHeight="1" x14ac:dyDescent="0.3">
      <c r="A185" s="42"/>
      <c r="B185" s="40"/>
      <c r="C185" s="42"/>
      <c r="D185" s="40"/>
      <c r="E185" s="40"/>
    </row>
    <row r="186" spans="1:5" ht="15" customHeight="1" x14ac:dyDescent="0.3">
      <c r="A186" s="42"/>
      <c r="B186" s="40"/>
      <c r="C186" s="42"/>
      <c r="D186" s="40"/>
      <c r="E186" s="40"/>
    </row>
    <row r="187" spans="1:5" ht="15" customHeight="1" x14ac:dyDescent="0.3">
      <c r="A187" s="42"/>
      <c r="B187" s="40"/>
      <c r="C187" s="42"/>
      <c r="D187" s="40"/>
      <c r="E187" s="40"/>
    </row>
    <row r="188" spans="1:5" ht="15" customHeight="1" x14ac:dyDescent="0.3">
      <c r="A188" s="42"/>
      <c r="B188" s="40"/>
      <c r="C188" s="42"/>
      <c r="D188" s="40"/>
      <c r="E188" s="40"/>
    </row>
    <row r="189" spans="1:5" ht="15" customHeight="1" x14ac:dyDescent="0.3">
      <c r="A189" s="42"/>
      <c r="B189" s="40"/>
      <c r="C189" s="42"/>
      <c r="D189" s="40"/>
      <c r="E189" s="40"/>
    </row>
    <row r="190" spans="1:5" ht="15" customHeight="1" x14ac:dyDescent="0.3">
      <c r="A190" s="42"/>
      <c r="B190" s="40"/>
      <c r="C190" s="42"/>
      <c r="D190" s="40"/>
      <c r="E190" s="40"/>
    </row>
    <row r="191" spans="1:5" ht="15" customHeight="1" x14ac:dyDescent="0.3">
      <c r="A191" s="42"/>
      <c r="B191" s="40"/>
      <c r="C191" s="42"/>
      <c r="D191" s="40"/>
      <c r="E191" s="40"/>
    </row>
    <row r="192" spans="1:5" ht="15" customHeight="1" x14ac:dyDescent="0.3">
      <c r="A192" s="42"/>
      <c r="B192" s="40"/>
      <c r="C192" s="42"/>
      <c r="D192" s="40"/>
      <c r="E192" s="40"/>
    </row>
    <row r="193" spans="1:5" ht="15" customHeight="1" x14ac:dyDescent="0.3">
      <c r="A193" s="42"/>
      <c r="B193" s="40"/>
      <c r="C193" s="42"/>
      <c r="D193" s="40"/>
      <c r="E193" s="40"/>
    </row>
    <row r="194" spans="1:5" ht="15" customHeight="1" x14ac:dyDescent="0.3">
      <c r="A194" s="42"/>
      <c r="B194" s="40"/>
      <c r="C194" s="42"/>
      <c r="D194" s="40"/>
      <c r="E194" s="40"/>
    </row>
    <row r="195" spans="1:5" ht="15" customHeight="1" x14ac:dyDescent="0.3">
      <c r="A195" s="42"/>
      <c r="B195" s="40"/>
      <c r="C195" s="42"/>
      <c r="D195" s="40"/>
      <c r="E195" s="40"/>
    </row>
    <row r="196" spans="1:5" ht="15" customHeight="1" x14ac:dyDescent="0.3">
      <c r="A196" s="42"/>
      <c r="B196" s="40"/>
      <c r="C196" s="42"/>
      <c r="D196" s="40"/>
      <c r="E196" s="40"/>
    </row>
    <row r="197" spans="1:5" ht="15" customHeight="1" x14ac:dyDescent="0.3">
      <c r="A197" s="42"/>
      <c r="B197" s="40"/>
      <c r="C197" s="42"/>
      <c r="D197" s="40"/>
      <c r="E197" s="40"/>
    </row>
    <row r="198" spans="1:5" ht="15" customHeight="1" x14ac:dyDescent="0.3">
      <c r="A198" s="42"/>
      <c r="B198" s="40"/>
      <c r="C198" s="42"/>
      <c r="D198" s="40"/>
      <c r="E198" s="40"/>
    </row>
    <row r="199" spans="1:5" ht="15" customHeight="1" x14ac:dyDescent="0.3">
      <c r="A199" s="42"/>
      <c r="B199" s="40"/>
      <c r="C199" s="42"/>
      <c r="D199" s="40"/>
      <c r="E199" s="40"/>
    </row>
    <row r="200" spans="1:5" ht="15" customHeight="1" x14ac:dyDescent="0.3">
      <c r="A200" s="42"/>
      <c r="B200" s="40"/>
      <c r="C200" s="42"/>
      <c r="D200" s="40"/>
      <c r="E200" s="40"/>
    </row>
    <row r="201" spans="1:5" ht="15" customHeight="1" x14ac:dyDescent="0.3">
      <c r="A201" s="42"/>
      <c r="B201" s="40"/>
      <c r="C201" s="42"/>
      <c r="D201" s="40"/>
      <c r="E201" s="40"/>
    </row>
    <row r="202" spans="1:5" ht="15" customHeight="1" x14ac:dyDescent="0.3">
      <c r="A202" s="42"/>
      <c r="B202" s="40"/>
      <c r="C202" s="42"/>
      <c r="D202" s="40"/>
      <c r="E202" s="40"/>
    </row>
    <row r="203" spans="1:5" ht="15" customHeight="1" x14ac:dyDescent="0.3">
      <c r="A203" s="42"/>
      <c r="B203" s="40"/>
      <c r="C203" s="42"/>
      <c r="D203" s="40"/>
      <c r="E203" s="40"/>
    </row>
    <row r="204" spans="1:5" ht="15" customHeight="1" x14ac:dyDescent="0.3">
      <c r="A204" s="42"/>
      <c r="B204" s="40"/>
      <c r="C204" s="42"/>
      <c r="D204" s="40"/>
      <c r="E204" s="40"/>
    </row>
    <row r="205" spans="1:5" x14ac:dyDescent="0.3">
      <c r="A205" s="42"/>
      <c r="B205" s="40"/>
      <c r="C205" s="42"/>
      <c r="D205" s="40"/>
      <c r="E205" s="40"/>
    </row>
    <row r="206" spans="1:5" x14ac:dyDescent="0.3">
      <c r="A206" s="42"/>
      <c r="B206" s="40"/>
      <c r="C206" s="42"/>
      <c r="D206" s="40"/>
      <c r="E206" s="40"/>
    </row>
    <row r="207" spans="1:5" x14ac:dyDescent="0.3">
      <c r="A207" s="42"/>
      <c r="B207" s="40"/>
      <c r="C207" s="42"/>
      <c r="D207" s="40"/>
      <c r="E207" s="40"/>
    </row>
    <row r="208" spans="1:5" x14ac:dyDescent="0.3">
      <c r="A208" s="42"/>
      <c r="B208" s="40"/>
      <c r="C208" s="42"/>
      <c r="D208" s="40"/>
      <c r="E208" s="40"/>
    </row>
    <row r="209" spans="1:5" x14ac:dyDescent="0.3">
      <c r="A209" s="42"/>
      <c r="B209" s="40"/>
      <c r="C209" s="42"/>
      <c r="D209" s="40"/>
      <c r="E209" s="40"/>
    </row>
    <row r="210" spans="1:5" x14ac:dyDescent="0.3">
      <c r="A210" s="42"/>
      <c r="B210" s="40"/>
      <c r="C210" s="42"/>
      <c r="D210" s="40"/>
      <c r="E210" s="40"/>
    </row>
    <row r="211" spans="1:5" x14ac:dyDescent="0.3">
      <c r="A211" s="42"/>
      <c r="B211" s="40"/>
      <c r="C211" s="42"/>
      <c r="D211" s="40"/>
      <c r="E211" s="40"/>
    </row>
    <row r="212" spans="1:5" x14ac:dyDescent="0.3">
      <c r="A212" s="42"/>
      <c r="B212" s="40"/>
      <c r="C212" s="42"/>
      <c r="D212" s="40"/>
      <c r="E212" s="40"/>
    </row>
    <row r="213" spans="1:5" x14ac:dyDescent="0.3">
      <c r="A213" s="42"/>
      <c r="B213" s="40"/>
      <c r="C213" s="42"/>
      <c r="D213" s="40"/>
      <c r="E213" s="40"/>
    </row>
    <row r="214" spans="1:5" x14ac:dyDescent="0.3">
      <c r="A214" s="42"/>
      <c r="B214" s="40"/>
      <c r="C214" s="42"/>
      <c r="D214" s="40"/>
      <c r="E214" s="40"/>
    </row>
    <row r="215" spans="1:5" x14ac:dyDescent="0.3">
      <c r="A215" s="42"/>
      <c r="B215" s="40"/>
      <c r="C215" s="42"/>
      <c r="D215" s="40"/>
      <c r="E215" s="40"/>
    </row>
    <row r="216" spans="1:5" x14ac:dyDescent="0.3">
      <c r="A216" s="42"/>
      <c r="B216" s="40"/>
      <c r="C216" s="42"/>
      <c r="D216" s="40"/>
      <c r="E216" s="40"/>
    </row>
    <row r="217" spans="1:5" x14ac:dyDescent="0.3">
      <c r="A217" s="42"/>
      <c r="B217" s="40"/>
      <c r="C217" s="42"/>
      <c r="D217" s="40"/>
      <c r="E217" s="40"/>
    </row>
    <row r="218" spans="1:5" x14ac:dyDescent="0.3">
      <c r="A218" s="42"/>
      <c r="B218" s="40"/>
      <c r="C218" s="42"/>
      <c r="D218" s="40"/>
      <c r="E218" s="40"/>
    </row>
    <row r="219" spans="1:5" x14ac:dyDescent="0.3">
      <c r="A219" s="42"/>
      <c r="B219" s="40"/>
      <c r="C219" s="42"/>
      <c r="D219" s="40"/>
      <c r="E219" s="40"/>
    </row>
    <row r="220" spans="1:5" x14ac:dyDescent="0.3">
      <c r="A220" s="42"/>
      <c r="B220" s="40"/>
      <c r="C220" s="42"/>
      <c r="D220" s="40"/>
      <c r="E220" s="40"/>
    </row>
    <row r="221" spans="1:5" x14ac:dyDescent="0.3">
      <c r="A221" s="42"/>
      <c r="B221" s="40"/>
      <c r="C221" s="42"/>
      <c r="D221" s="40"/>
      <c r="E221" s="40"/>
    </row>
    <row r="222" spans="1:5" x14ac:dyDescent="0.3">
      <c r="A222" s="42"/>
      <c r="B222" s="40"/>
      <c r="C222" s="42"/>
      <c r="D222" s="40"/>
      <c r="E222" s="40"/>
    </row>
    <row r="223" spans="1:5" x14ac:dyDescent="0.3">
      <c r="A223" s="42"/>
      <c r="B223" s="40"/>
      <c r="C223" s="42"/>
      <c r="D223" s="40"/>
      <c r="E223" s="40"/>
    </row>
    <row r="224" spans="1:5" x14ac:dyDescent="0.3">
      <c r="A224" s="42"/>
      <c r="B224" s="40"/>
      <c r="C224" s="42"/>
      <c r="D224" s="40"/>
      <c r="E224" s="40"/>
    </row>
    <row r="225" spans="1:5" x14ac:dyDescent="0.3">
      <c r="A225" s="42"/>
      <c r="B225" s="40"/>
      <c r="C225" s="42"/>
      <c r="D225" s="40"/>
      <c r="E225" s="40"/>
    </row>
    <row r="226" spans="1:5" x14ac:dyDescent="0.3">
      <c r="A226" s="42"/>
      <c r="B226" s="40"/>
      <c r="C226" s="42"/>
      <c r="D226" s="40"/>
      <c r="E226" s="40"/>
    </row>
    <row r="227" spans="1:5" x14ac:dyDescent="0.3">
      <c r="A227" s="42"/>
      <c r="B227" s="40"/>
      <c r="C227" s="42"/>
      <c r="D227" s="40"/>
      <c r="E227" s="40"/>
    </row>
    <row r="228" spans="1:5" x14ac:dyDescent="0.3">
      <c r="A228" s="42"/>
      <c r="B228" s="40"/>
      <c r="C228" s="42"/>
      <c r="D228" s="40"/>
      <c r="E228" s="40"/>
    </row>
    <row r="229" spans="1:5" x14ac:dyDescent="0.3">
      <c r="A229" s="42"/>
      <c r="B229" s="40"/>
      <c r="C229" s="42"/>
      <c r="D229" s="40"/>
      <c r="E229" s="40"/>
    </row>
    <row r="230" spans="1:5" x14ac:dyDescent="0.3">
      <c r="A230" s="42"/>
      <c r="B230" s="40"/>
      <c r="C230" s="42"/>
      <c r="D230" s="40"/>
      <c r="E230" s="40"/>
    </row>
    <row r="231" spans="1:5" x14ac:dyDescent="0.3">
      <c r="A231" s="42"/>
      <c r="B231" s="40"/>
      <c r="C231" s="42"/>
      <c r="D231" s="40"/>
      <c r="E231" s="40"/>
    </row>
    <row r="232" spans="1:5" x14ac:dyDescent="0.3">
      <c r="A232" s="42"/>
      <c r="B232" s="40"/>
      <c r="C232" s="42"/>
      <c r="D232" s="40"/>
      <c r="E232" s="40"/>
    </row>
    <row r="233" spans="1:5" x14ac:dyDescent="0.3">
      <c r="A233" s="42"/>
      <c r="B233" s="40"/>
      <c r="C233" s="42"/>
      <c r="D233" s="40"/>
      <c r="E233" s="40"/>
    </row>
    <row r="234" spans="1:5" x14ac:dyDescent="0.3">
      <c r="A234" s="42"/>
      <c r="B234" s="40"/>
      <c r="C234" s="42"/>
      <c r="D234" s="40"/>
      <c r="E234" s="40"/>
    </row>
    <row r="235" spans="1:5" x14ac:dyDescent="0.3">
      <c r="A235" s="42"/>
      <c r="B235" s="40"/>
      <c r="C235" s="42"/>
      <c r="D235" s="40"/>
      <c r="E235" s="40"/>
    </row>
    <row r="236" spans="1:5" x14ac:dyDescent="0.3">
      <c r="A236" s="42"/>
      <c r="B236" s="40"/>
      <c r="C236" s="42"/>
      <c r="D236" s="40"/>
      <c r="E236" s="40"/>
    </row>
    <row r="237" spans="1:5" x14ac:dyDescent="0.3">
      <c r="A237" s="42"/>
      <c r="B237" s="40"/>
      <c r="C237" s="42"/>
      <c r="D237" s="40"/>
      <c r="E237" s="40"/>
    </row>
    <row r="238" spans="1:5" x14ac:dyDescent="0.3">
      <c r="A238" s="42"/>
      <c r="B238" s="40"/>
      <c r="C238" s="42"/>
      <c r="D238" s="40"/>
      <c r="E238" s="40"/>
    </row>
    <row r="239" spans="1:5" x14ac:dyDescent="0.3">
      <c r="A239" s="42"/>
      <c r="B239" s="40"/>
      <c r="C239" s="42"/>
      <c r="D239" s="40"/>
      <c r="E239" s="40"/>
    </row>
    <row r="240" spans="1:5" x14ac:dyDescent="0.3">
      <c r="A240" s="42"/>
      <c r="B240" s="40"/>
      <c r="C240" s="42"/>
      <c r="D240" s="40"/>
      <c r="E240" s="40"/>
    </row>
    <row r="241" spans="1:5" x14ac:dyDescent="0.3">
      <c r="A241" s="42"/>
      <c r="B241" s="40"/>
      <c r="C241" s="42"/>
      <c r="D241" s="40"/>
      <c r="E241" s="40"/>
    </row>
    <row r="242" spans="1:5" x14ac:dyDescent="0.3">
      <c r="A242" s="42"/>
      <c r="B242" s="40"/>
      <c r="C242" s="42"/>
      <c r="D242" s="40"/>
      <c r="E242" s="40"/>
    </row>
    <row r="243" spans="1:5" x14ac:dyDescent="0.3">
      <c r="A243" s="42"/>
      <c r="B243" s="40"/>
      <c r="C243" s="42"/>
      <c r="D243" s="40"/>
      <c r="E243" s="40"/>
    </row>
    <row r="244" spans="1:5" x14ac:dyDescent="0.3">
      <c r="A244" s="42"/>
      <c r="B244" s="40"/>
      <c r="C244" s="42"/>
      <c r="D244" s="40"/>
      <c r="E244" s="40"/>
    </row>
    <row r="245" spans="1:5" x14ac:dyDescent="0.3">
      <c r="A245" s="42"/>
      <c r="B245" s="40"/>
      <c r="C245" s="42"/>
      <c r="D245" s="40"/>
      <c r="E245" s="40"/>
    </row>
    <row r="246" spans="1:5" x14ac:dyDescent="0.3">
      <c r="A246" s="42"/>
      <c r="B246" s="40"/>
      <c r="C246" s="42"/>
      <c r="D246" s="40"/>
      <c r="E246" s="40"/>
    </row>
    <row r="247" spans="1:5" x14ac:dyDescent="0.3">
      <c r="A247" s="42"/>
      <c r="B247" s="40"/>
      <c r="C247" s="42"/>
      <c r="D247" s="40"/>
      <c r="E247" s="40"/>
    </row>
    <row r="248" spans="1:5" x14ac:dyDescent="0.3">
      <c r="A248" s="42"/>
      <c r="B248" s="40"/>
      <c r="C248" s="42"/>
      <c r="D248" s="40"/>
      <c r="E248" s="40"/>
    </row>
    <row r="249" spans="1:5" x14ac:dyDescent="0.3">
      <c r="A249" s="42"/>
      <c r="B249" s="40"/>
      <c r="C249" s="42"/>
      <c r="D249" s="40"/>
      <c r="E249" s="40"/>
    </row>
    <row r="250" spans="1:5" x14ac:dyDescent="0.3">
      <c r="A250" s="42"/>
      <c r="B250" s="40"/>
      <c r="C250" s="42"/>
      <c r="D250" s="40"/>
      <c r="E250" s="40"/>
    </row>
    <row r="251" spans="1:5" x14ac:dyDescent="0.3">
      <c r="A251" s="42"/>
      <c r="B251" s="40"/>
      <c r="C251" s="42"/>
      <c r="D251" s="40"/>
      <c r="E251" s="40"/>
    </row>
    <row r="252" spans="1:5" x14ac:dyDescent="0.3">
      <c r="A252" s="42"/>
      <c r="B252" s="40"/>
      <c r="C252" s="42"/>
      <c r="D252" s="40"/>
      <c r="E252" s="40"/>
    </row>
    <row r="253" spans="1:5" x14ac:dyDescent="0.3">
      <c r="A253" s="42"/>
      <c r="B253" s="40"/>
      <c r="C253" s="42"/>
      <c r="D253" s="40"/>
      <c r="E253" s="40"/>
    </row>
    <row r="254" spans="1:5" x14ac:dyDescent="0.3">
      <c r="A254" s="42"/>
      <c r="B254" s="40"/>
      <c r="C254" s="42"/>
      <c r="D254" s="40"/>
      <c r="E254" s="40"/>
    </row>
    <row r="255" spans="1:5" x14ac:dyDescent="0.3">
      <c r="A255" s="42"/>
      <c r="B255" s="40"/>
      <c r="C255" s="42"/>
      <c r="D255" s="40"/>
      <c r="E255" s="40"/>
    </row>
    <row r="256" spans="1:5" x14ac:dyDescent="0.3">
      <c r="A256" s="42"/>
      <c r="B256" s="40"/>
      <c r="C256" s="42"/>
      <c r="D256" s="40"/>
      <c r="E256" s="40"/>
    </row>
    <row r="257" spans="1:5" x14ac:dyDescent="0.3">
      <c r="A257" s="42"/>
      <c r="B257" s="40"/>
      <c r="C257" s="42"/>
      <c r="D257" s="40"/>
      <c r="E257" s="40"/>
    </row>
    <row r="258" spans="1:5" x14ac:dyDescent="0.3">
      <c r="A258" s="42"/>
      <c r="B258" s="40"/>
      <c r="C258" s="42"/>
      <c r="D258" s="40"/>
      <c r="E258" s="40"/>
    </row>
    <row r="259" spans="1:5" x14ac:dyDescent="0.3">
      <c r="A259" s="42"/>
      <c r="B259" s="40"/>
      <c r="C259" s="42"/>
      <c r="D259" s="40"/>
      <c r="E259" s="40"/>
    </row>
    <row r="260" spans="1:5" x14ac:dyDescent="0.3">
      <c r="A260" s="42"/>
      <c r="B260" s="40"/>
      <c r="C260" s="42"/>
      <c r="D260" s="40"/>
      <c r="E260" s="40"/>
    </row>
    <row r="261" spans="1:5" x14ac:dyDescent="0.3">
      <c r="A261" s="42"/>
      <c r="B261" s="40"/>
      <c r="C261" s="42"/>
      <c r="D261" s="40"/>
      <c r="E261" s="40"/>
    </row>
    <row r="262" spans="1:5" x14ac:dyDescent="0.3">
      <c r="A262" s="42"/>
      <c r="B262" s="40"/>
      <c r="C262" s="42"/>
      <c r="D262" s="40"/>
      <c r="E262" s="40"/>
    </row>
    <row r="263" spans="1:5" x14ac:dyDescent="0.3">
      <c r="A263" s="42"/>
      <c r="B263" s="40"/>
      <c r="C263" s="42"/>
      <c r="D263" s="40"/>
      <c r="E263" s="40"/>
    </row>
    <row r="264" spans="1:5" x14ac:dyDescent="0.3">
      <c r="A264" s="42"/>
      <c r="B264" s="40"/>
      <c r="C264" s="42"/>
      <c r="D264" s="40"/>
      <c r="E264" s="40"/>
    </row>
    <row r="265" spans="1:5" x14ac:dyDescent="0.3">
      <c r="A265" s="42"/>
      <c r="B265" s="40"/>
      <c r="C265" s="42"/>
      <c r="D265" s="40"/>
      <c r="E265" s="40"/>
    </row>
    <row r="266" spans="1:5" x14ac:dyDescent="0.3">
      <c r="A266" s="42"/>
      <c r="B266" s="40"/>
      <c r="C266" s="42"/>
      <c r="D266" s="40"/>
      <c r="E266" s="40"/>
    </row>
    <row r="267" spans="1:5" x14ac:dyDescent="0.3">
      <c r="A267" s="42"/>
      <c r="B267" s="40"/>
      <c r="C267" s="42"/>
      <c r="D267" s="40"/>
      <c r="E267" s="40"/>
    </row>
    <row r="268" spans="1:5" x14ac:dyDescent="0.3">
      <c r="A268" s="42"/>
      <c r="B268" s="40"/>
      <c r="C268" s="42"/>
      <c r="D268" s="40"/>
      <c r="E268" s="40"/>
    </row>
    <row r="269" spans="1:5" x14ac:dyDescent="0.3">
      <c r="A269" s="42"/>
      <c r="B269" s="40"/>
      <c r="C269" s="42"/>
      <c r="D269" s="40"/>
      <c r="E269" s="40"/>
    </row>
    <row r="270" spans="1:5" x14ac:dyDescent="0.3">
      <c r="A270" s="42"/>
      <c r="B270" s="40"/>
      <c r="C270" s="42"/>
      <c r="D270" s="40"/>
      <c r="E270" s="40"/>
    </row>
    <row r="271" spans="1:5" x14ac:dyDescent="0.3">
      <c r="A271" s="42"/>
      <c r="B271" s="40"/>
      <c r="C271" s="42"/>
      <c r="D271" s="40"/>
      <c r="E271" s="40"/>
    </row>
    <row r="272" spans="1:5" x14ac:dyDescent="0.3">
      <c r="A272" s="42"/>
      <c r="B272" s="40"/>
      <c r="C272" s="42"/>
      <c r="D272" s="40"/>
      <c r="E272" s="40"/>
    </row>
    <row r="273" spans="1:5" x14ac:dyDescent="0.3">
      <c r="A273" s="42"/>
      <c r="B273" s="40"/>
      <c r="C273" s="42"/>
      <c r="D273" s="40"/>
      <c r="E273" s="40"/>
    </row>
    <row r="274" spans="1:5" x14ac:dyDescent="0.3">
      <c r="A274" s="42"/>
      <c r="B274" s="40"/>
      <c r="C274" s="42"/>
      <c r="D274" s="40"/>
      <c r="E274" s="40"/>
    </row>
    <row r="275" spans="1:5" x14ac:dyDescent="0.3">
      <c r="A275" s="42"/>
      <c r="B275" s="40"/>
      <c r="C275" s="42"/>
      <c r="D275" s="40"/>
      <c r="E275" s="40"/>
    </row>
    <row r="276" spans="1:5" x14ac:dyDescent="0.3">
      <c r="A276" s="42"/>
      <c r="B276" s="40"/>
      <c r="C276" s="42"/>
      <c r="D276" s="40"/>
      <c r="E276" s="40"/>
    </row>
    <row r="277" spans="1:5" x14ac:dyDescent="0.3">
      <c r="A277" s="42"/>
      <c r="B277" s="40"/>
      <c r="C277" s="42"/>
      <c r="D277" s="40"/>
      <c r="E277" s="40"/>
    </row>
    <row r="278" spans="1:5" x14ac:dyDescent="0.3">
      <c r="A278" s="42"/>
      <c r="B278" s="40"/>
      <c r="C278" s="42"/>
      <c r="D278" s="40"/>
      <c r="E278" s="40"/>
    </row>
    <row r="279" spans="1:5" x14ac:dyDescent="0.3">
      <c r="A279" s="42"/>
      <c r="B279" s="40"/>
      <c r="C279" s="42"/>
      <c r="D279" s="40"/>
      <c r="E279" s="40"/>
    </row>
    <row r="280" spans="1:5" x14ac:dyDescent="0.3">
      <c r="A280" s="42"/>
      <c r="B280" s="40"/>
      <c r="C280" s="42"/>
      <c r="D280" s="40"/>
      <c r="E280" s="40"/>
    </row>
    <row r="281" spans="1:5" x14ac:dyDescent="0.3">
      <c r="A281" s="42"/>
      <c r="B281" s="40"/>
      <c r="C281" s="42"/>
      <c r="D281" s="40"/>
      <c r="E281" s="40"/>
    </row>
    <row r="282" spans="1:5" x14ac:dyDescent="0.3">
      <c r="A282" s="42"/>
      <c r="B282" s="40"/>
      <c r="C282" s="42"/>
      <c r="D282" s="40"/>
      <c r="E282" s="40"/>
    </row>
    <row r="283" spans="1:5" x14ac:dyDescent="0.3">
      <c r="A283" s="42"/>
      <c r="B283" s="40"/>
      <c r="C283" s="42"/>
      <c r="D283" s="40"/>
      <c r="E283" s="40"/>
    </row>
    <row r="284" spans="1:5" x14ac:dyDescent="0.3">
      <c r="A284" s="42"/>
      <c r="B284" s="40"/>
      <c r="C284" s="42"/>
      <c r="D284" s="40"/>
      <c r="E284" s="40"/>
    </row>
    <row r="285" spans="1:5" x14ac:dyDescent="0.3">
      <c r="A285" s="42"/>
      <c r="B285" s="40"/>
      <c r="C285" s="42"/>
      <c r="D285" s="40"/>
      <c r="E285" s="40"/>
    </row>
    <row r="286" spans="1:5" x14ac:dyDescent="0.3">
      <c r="A286" s="42"/>
      <c r="B286" s="40"/>
      <c r="C286" s="42"/>
      <c r="D286" s="40"/>
      <c r="E286" s="40"/>
    </row>
    <row r="287" spans="1:5" x14ac:dyDescent="0.3">
      <c r="A287" s="42"/>
      <c r="B287" s="40"/>
      <c r="C287" s="42"/>
      <c r="D287" s="40"/>
      <c r="E287" s="40"/>
    </row>
    <row r="288" spans="1:5" x14ac:dyDescent="0.3">
      <c r="A288" s="42"/>
      <c r="B288" s="40"/>
      <c r="C288" s="42"/>
      <c r="D288" s="40"/>
      <c r="E288" s="40"/>
    </row>
    <row r="289" spans="1:5" x14ac:dyDescent="0.3">
      <c r="A289" s="42"/>
      <c r="B289" s="40"/>
      <c r="C289" s="42"/>
      <c r="D289" s="40"/>
      <c r="E289" s="40"/>
    </row>
    <row r="290" spans="1:5" x14ac:dyDescent="0.3">
      <c r="A290" s="42"/>
      <c r="B290" s="40"/>
      <c r="C290" s="42"/>
      <c r="D290" s="40"/>
      <c r="E290" s="40"/>
    </row>
    <row r="291" spans="1:5" x14ac:dyDescent="0.3">
      <c r="A291" s="42"/>
      <c r="B291" s="40"/>
      <c r="C291" s="42"/>
      <c r="D291" s="40"/>
      <c r="E291" s="40"/>
    </row>
    <row r="292" spans="1:5" x14ac:dyDescent="0.3">
      <c r="A292" s="42"/>
      <c r="B292" s="40"/>
      <c r="C292" s="42"/>
      <c r="D292" s="40"/>
      <c r="E292" s="40"/>
    </row>
    <row r="293" spans="1:5" x14ac:dyDescent="0.3">
      <c r="A293" s="42"/>
      <c r="B293" s="40"/>
      <c r="C293" s="42"/>
      <c r="D293" s="40"/>
      <c r="E293" s="40"/>
    </row>
    <row r="294" spans="1:5" x14ac:dyDescent="0.3">
      <c r="A294" s="42"/>
      <c r="B294" s="40"/>
      <c r="C294" s="42"/>
      <c r="D294" s="40"/>
      <c r="E294" s="40"/>
    </row>
    <row r="295" spans="1:5" x14ac:dyDescent="0.3">
      <c r="A295" s="42"/>
      <c r="B295" s="40"/>
      <c r="C295" s="42"/>
      <c r="D295" s="40"/>
      <c r="E295" s="40"/>
    </row>
    <row r="296" spans="1:5" x14ac:dyDescent="0.3">
      <c r="A296" s="42"/>
      <c r="B296" s="40"/>
      <c r="C296" s="42"/>
      <c r="D296" s="40"/>
      <c r="E296" s="40"/>
    </row>
    <row r="297" spans="1:5" x14ac:dyDescent="0.3">
      <c r="A297" s="42"/>
      <c r="B297" s="40"/>
      <c r="C297" s="42"/>
      <c r="D297" s="40"/>
      <c r="E297" s="40"/>
    </row>
    <row r="298" spans="1:5" x14ac:dyDescent="0.3">
      <c r="A298" s="42"/>
      <c r="B298" s="40"/>
      <c r="C298" s="42"/>
      <c r="D298" s="40"/>
      <c r="E298" s="40"/>
    </row>
    <row r="299" spans="1:5" x14ac:dyDescent="0.3">
      <c r="A299" s="42"/>
      <c r="B299" s="40"/>
      <c r="C299" s="42"/>
      <c r="D299" s="40"/>
      <c r="E299" s="40"/>
    </row>
    <row r="300" spans="1:5" x14ac:dyDescent="0.3">
      <c r="A300" s="42"/>
      <c r="B300" s="40"/>
      <c r="C300" s="42"/>
      <c r="D300" s="40"/>
      <c r="E300" s="40"/>
    </row>
    <row r="301" spans="1:5" x14ac:dyDescent="0.3">
      <c r="A301" s="42"/>
      <c r="B301" s="40"/>
      <c r="C301" s="42"/>
      <c r="D301" s="40"/>
      <c r="E301" s="40"/>
    </row>
    <row r="302" spans="1:5" x14ac:dyDescent="0.3">
      <c r="A302" s="42"/>
      <c r="B302" s="40"/>
      <c r="C302" s="42"/>
      <c r="D302" s="40"/>
      <c r="E302" s="40"/>
    </row>
    <row r="303" spans="1:5" x14ac:dyDescent="0.3">
      <c r="A303" s="42"/>
      <c r="B303" s="40"/>
      <c r="C303" s="42"/>
      <c r="D303" s="40"/>
      <c r="E303" s="40"/>
    </row>
    <row r="304" spans="1:5" x14ac:dyDescent="0.3">
      <c r="A304" s="42"/>
      <c r="B304" s="40"/>
      <c r="C304" s="42"/>
      <c r="D304" s="40"/>
      <c r="E304" s="40"/>
    </row>
    <row r="305" spans="1:5" x14ac:dyDescent="0.3">
      <c r="A305" s="42"/>
      <c r="B305" s="40"/>
      <c r="C305" s="42"/>
      <c r="D305" s="40"/>
      <c r="E305" s="40"/>
    </row>
    <row r="306" spans="1:5" x14ac:dyDescent="0.3">
      <c r="A306" s="42"/>
      <c r="B306" s="40"/>
      <c r="C306" s="42"/>
      <c r="D306" s="40"/>
      <c r="E306" s="40"/>
    </row>
    <row r="307" spans="1:5" x14ac:dyDescent="0.3">
      <c r="A307" s="42"/>
      <c r="B307" s="40"/>
      <c r="C307" s="42"/>
      <c r="D307" s="40"/>
      <c r="E307" s="40"/>
    </row>
    <row r="308" spans="1:5" x14ac:dyDescent="0.3">
      <c r="A308" s="42"/>
      <c r="B308" s="40"/>
      <c r="C308" s="42"/>
      <c r="D308" s="40"/>
      <c r="E308" s="40"/>
    </row>
    <row r="309" spans="1:5" x14ac:dyDescent="0.3">
      <c r="A309" s="42"/>
      <c r="B309" s="40"/>
      <c r="C309" s="42"/>
      <c r="D309" s="40"/>
      <c r="E309" s="40"/>
    </row>
    <row r="310" spans="1:5" x14ac:dyDescent="0.3">
      <c r="A310" s="42"/>
      <c r="B310" s="40"/>
      <c r="C310" s="42"/>
      <c r="D310" s="40"/>
      <c r="E310" s="40"/>
    </row>
    <row r="311" spans="1:5" x14ac:dyDescent="0.3">
      <c r="A311" s="42"/>
      <c r="B311" s="40"/>
      <c r="C311" s="42"/>
      <c r="D311" s="40"/>
      <c r="E311" s="40"/>
    </row>
    <row r="312" spans="1:5" x14ac:dyDescent="0.3">
      <c r="A312" s="42"/>
      <c r="B312" s="40"/>
      <c r="C312" s="42"/>
      <c r="D312" s="40"/>
      <c r="E312" s="40"/>
    </row>
    <row r="313" spans="1:5" x14ac:dyDescent="0.3">
      <c r="A313" s="42"/>
      <c r="B313" s="40"/>
      <c r="C313" s="42"/>
      <c r="D313" s="40"/>
      <c r="E313" s="40"/>
    </row>
    <row r="314" spans="1:5" x14ac:dyDescent="0.3">
      <c r="A314" s="42"/>
      <c r="B314" s="40"/>
      <c r="C314" s="42"/>
      <c r="D314" s="40"/>
      <c r="E314" s="40"/>
    </row>
    <row r="315" spans="1:5" x14ac:dyDescent="0.3">
      <c r="A315" s="42"/>
      <c r="B315" s="40"/>
      <c r="C315" s="42"/>
      <c r="D315" s="40"/>
      <c r="E315" s="40"/>
    </row>
    <row r="316" spans="1:5" x14ac:dyDescent="0.3">
      <c r="A316" s="42"/>
      <c r="B316" s="40"/>
      <c r="C316" s="42"/>
      <c r="D316" s="40"/>
      <c r="E316" s="40"/>
    </row>
    <row r="317" spans="1:5" x14ac:dyDescent="0.3">
      <c r="A317" s="42"/>
      <c r="B317" s="40"/>
      <c r="C317" s="42"/>
      <c r="D317" s="40"/>
      <c r="E317" s="40"/>
    </row>
    <row r="318" spans="1:5" x14ac:dyDescent="0.3">
      <c r="A318" s="42"/>
      <c r="B318" s="40"/>
      <c r="C318" s="42"/>
      <c r="D318" s="40"/>
      <c r="E318" s="40"/>
    </row>
    <row r="319" spans="1:5" x14ac:dyDescent="0.3">
      <c r="A319" s="42"/>
      <c r="B319" s="40"/>
      <c r="C319" s="42"/>
      <c r="D319" s="40"/>
      <c r="E319" s="40"/>
    </row>
    <row r="320" spans="1:5" x14ac:dyDescent="0.3">
      <c r="A320" s="42"/>
      <c r="B320" s="40"/>
      <c r="C320" s="42"/>
      <c r="D320" s="40"/>
      <c r="E320" s="40"/>
    </row>
    <row r="321" spans="1:5" x14ac:dyDescent="0.3">
      <c r="A321" s="42"/>
      <c r="B321" s="40"/>
      <c r="C321" s="42"/>
      <c r="D321" s="40"/>
      <c r="E321" s="40"/>
    </row>
    <row r="322" spans="1:5" x14ac:dyDescent="0.3">
      <c r="A322" s="42"/>
      <c r="B322" s="40"/>
      <c r="C322" s="42"/>
      <c r="D322" s="40"/>
      <c r="E322" s="40"/>
    </row>
    <row r="323" spans="1:5" x14ac:dyDescent="0.3">
      <c r="A323" s="42"/>
      <c r="B323" s="40"/>
      <c r="C323" s="42"/>
      <c r="D323" s="40"/>
      <c r="E323" s="40"/>
    </row>
    <row r="324" spans="1:5" x14ac:dyDescent="0.3">
      <c r="A324" s="42"/>
      <c r="B324" s="40"/>
      <c r="C324" s="42"/>
      <c r="D324" s="40"/>
      <c r="E324" s="40"/>
    </row>
    <row r="325" spans="1:5" x14ac:dyDescent="0.3">
      <c r="A325" s="42"/>
      <c r="B325" s="40"/>
      <c r="C325" s="42"/>
      <c r="D325" s="40"/>
      <c r="E325" s="40"/>
    </row>
    <row r="326" spans="1:5" x14ac:dyDescent="0.3">
      <c r="A326" s="42"/>
      <c r="B326" s="40"/>
      <c r="C326" s="42"/>
      <c r="D326" s="40"/>
      <c r="E326" s="40"/>
    </row>
    <row r="327" spans="1:5" x14ac:dyDescent="0.3">
      <c r="A327" s="42"/>
      <c r="B327" s="40"/>
      <c r="C327" s="42"/>
      <c r="D327" s="40"/>
      <c r="E327" s="40"/>
    </row>
    <row r="328" spans="1:5" x14ac:dyDescent="0.3">
      <c r="A328" s="42"/>
      <c r="B328" s="40"/>
      <c r="C328" s="42"/>
      <c r="D328" s="40"/>
      <c r="E328" s="40"/>
    </row>
    <row r="329" spans="1:5" x14ac:dyDescent="0.3">
      <c r="A329" s="42"/>
      <c r="B329" s="40"/>
      <c r="C329" s="42"/>
      <c r="D329" s="40"/>
      <c r="E329" s="40"/>
    </row>
    <row r="330" spans="1:5" x14ac:dyDescent="0.3">
      <c r="A330" s="42"/>
      <c r="B330" s="40"/>
      <c r="C330" s="42"/>
      <c r="D330" s="40"/>
      <c r="E330" s="40"/>
    </row>
    <row r="331" spans="1:5" x14ac:dyDescent="0.3">
      <c r="A331" s="42"/>
      <c r="B331" s="40"/>
      <c r="C331" s="42"/>
      <c r="D331" s="40"/>
      <c r="E331" s="40"/>
    </row>
    <row r="332" spans="1:5" x14ac:dyDescent="0.3">
      <c r="A332" s="42"/>
      <c r="B332" s="40"/>
      <c r="C332" s="42"/>
      <c r="D332" s="40"/>
      <c r="E332" s="40"/>
    </row>
    <row r="333" spans="1:5" x14ac:dyDescent="0.3">
      <c r="A333" s="42"/>
      <c r="B333" s="40"/>
      <c r="C333" s="42"/>
      <c r="D333" s="40"/>
      <c r="E333" s="40"/>
    </row>
    <row r="334" spans="1:5" x14ac:dyDescent="0.3">
      <c r="A334" s="42"/>
      <c r="B334" s="40"/>
      <c r="C334" s="42"/>
      <c r="D334" s="40"/>
      <c r="E334" s="40"/>
    </row>
    <row r="335" spans="1:5" x14ac:dyDescent="0.3">
      <c r="A335" s="42"/>
      <c r="B335" s="40"/>
      <c r="C335" s="42"/>
      <c r="D335" s="40"/>
      <c r="E335" s="40"/>
    </row>
    <row r="336" spans="1:5" x14ac:dyDescent="0.3">
      <c r="A336" s="42"/>
      <c r="B336" s="40"/>
      <c r="C336" s="42"/>
      <c r="D336" s="40"/>
      <c r="E336" s="40"/>
    </row>
    <row r="337" spans="1:5" x14ac:dyDescent="0.3">
      <c r="A337" s="42"/>
      <c r="B337" s="40"/>
      <c r="C337" s="42"/>
      <c r="D337" s="40"/>
      <c r="E337" s="40"/>
    </row>
    <row r="338" spans="1:5" x14ac:dyDescent="0.3">
      <c r="A338" s="42"/>
      <c r="B338" s="40"/>
      <c r="C338" s="42"/>
      <c r="D338" s="40"/>
      <c r="E338" s="40"/>
    </row>
    <row r="339" spans="1:5" x14ac:dyDescent="0.3">
      <c r="A339" s="42"/>
      <c r="B339" s="40"/>
      <c r="C339" s="42"/>
      <c r="D339" s="40"/>
      <c r="E339" s="40"/>
    </row>
    <row r="340" spans="1:5" x14ac:dyDescent="0.3">
      <c r="A340" s="42"/>
      <c r="B340" s="40"/>
      <c r="C340" s="42"/>
      <c r="D340" s="40"/>
      <c r="E340" s="40"/>
    </row>
    <row r="341" spans="1:5" x14ac:dyDescent="0.3">
      <c r="A341" s="42"/>
      <c r="B341" s="40"/>
      <c r="C341" s="42"/>
      <c r="D341" s="40"/>
      <c r="E341" s="40"/>
    </row>
    <row r="342" spans="1:5" x14ac:dyDescent="0.3">
      <c r="A342" s="42"/>
      <c r="B342" s="40"/>
      <c r="C342" s="42"/>
      <c r="D342" s="40"/>
      <c r="E342" s="40"/>
    </row>
    <row r="343" spans="1:5" x14ac:dyDescent="0.3">
      <c r="A343" s="42"/>
      <c r="B343" s="40"/>
      <c r="C343" s="42"/>
      <c r="D343" s="40"/>
      <c r="E343" s="40"/>
    </row>
    <row r="344" spans="1:5" x14ac:dyDescent="0.3">
      <c r="A344" s="42"/>
      <c r="B344" s="40"/>
      <c r="C344" s="42"/>
      <c r="D344" s="40"/>
      <c r="E344" s="40"/>
    </row>
    <row r="345" spans="1:5" x14ac:dyDescent="0.3">
      <c r="A345" s="42"/>
      <c r="B345" s="40"/>
      <c r="C345" s="42"/>
      <c r="D345" s="40"/>
      <c r="E345" s="40"/>
    </row>
    <row r="346" spans="1:5" x14ac:dyDescent="0.3">
      <c r="A346" s="42"/>
      <c r="B346" s="40"/>
      <c r="C346" s="42"/>
      <c r="D346" s="40"/>
      <c r="E346" s="40"/>
    </row>
    <row r="347" spans="1:5" x14ac:dyDescent="0.3">
      <c r="A347" s="42"/>
      <c r="B347" s="40"/>
      <c r="C347" s="42"/>
      <c r="D347" s="40"/>
      <c r="E347" s="40"/>
    </row>
    <row r="348" spans="1:5" x14ac:dyDescent="0.3">
      <c r="A348" s="42"/>
      <c r="B348" s="40"/>
      <c r="C348" s="42"/>
      <c r="D348" s="40"/>
      <c r="E348" s="40"/>
    </row>
    <row r="349" spans="1:5" x14ac:dyDescent="0.3">
      <c r="A349" s="42"/>
      <c r="B349" s="40"/>
      <c r="C349" s="42"/>
      <c r="D349" s="40"/>
      <c r="E349" s="40"/>
    </row>
    <row r="350" spans="1:5" x14ac:dyDescent="0.3">
      <c r="A350" s="42"/>
      <c r="B350" s="40"/>
      <c r="C350" s="42"/>
      <c r="D350" s="40"/>
      <c r="E350" s="40"/>
    </row>
    <row r="351" spans="1:5" x14ac:dyDescent="0.3">
      <c r="A351" s="42"/>
      <c r="B351" s="40"/>
      <c r="C351" s="42"/>
      <c r="D351" s="40"/>
      <c r="E351" s="40"/>
    </row>
    <row r="352" spans="1:5" x14ac:dyDescent="0.3">
      <c r="A352" s="42"/>
      <c r="B352" s="40"/>
      <c r="C352" s="42"/>
      <c r="D352" s="40"/>
      <c r="E352" s="40"/>
    </row>
    <row r="353" spans="1:5" x14ac:dyDescent="0.3">
      <c r="A353" s="42"/>
      <c r="B353" s="40"/>
      <c r="C353" s="42"/>
      <c r="D353" s="40"/>
      <c r="E353" s="40"/>
    </row>
    <row r="354" spans="1:5" x14ac:dyDescent="0.3">
      <c r="A354" s="42"/>
      <c r="B354" s="40"/>
      <c r="C354" s="42"/>
      <c r="D354" s="40"/>
      <c r="E354" s="40"/>
    </row>
    <row r="355" spans="1:5" x14ac:dyDescent="0.3">
      <c r="A355" s="42"/>
      <c r="B355" s="40"/>
      <c r="C355" s="42"/>
      <c r="D355" s="40"/>
      <c r="E355" s="40"/>
    </row>
    <row r="356" spans="1:5" x14ac:dyDescent="0.3">
      <c r="A356" s="42"/>
      <c r="B356" s="40"/>
      <c r="C356" s="42"/>
      <c r="D356" s="40"/>
      <c r="E356" s="40"/>
    </row>
    <row r="357" spans="1:5" x14ac:dyDescent="0.3">
      <c r="A357" s="42"/>
      <c r="B357" s="40"/>
      <c r="C357" s="42"/>
      <c r="D357" s="40"/>
      <c r="E357" s="40"/>
    </row>
    <row r="358" spans="1:5" x14ac:dyDescent="0.3">
      <c r="A358" s="42"/>
      <c r="B358" s="40"/>
      <c r="C358" s="42"/>
      <c r="D358" s="40"/>
      <c r="E358" s="40"/>
    </row>
    <row r="359" spans="1:5" x14ac:dyDescent="0.3">
      <c r="A359" s="42"/>
      <c r="B359" s="40"/>
      <c r="C359" s="42"/>
      <c r="D359" s="40"/>
      <c r="E359" s="40"/>
    </row>
    <row r="360" spans="1:5" x14ac:dyDescent="0.3">
      <c r="A360" s="42"/>
      <c r="B360" s="40"/>
      <c r="C360" s="42"/>
      <c r="D360" s="40"/>
      <c r="E360" s="40"/>
    </row>
    <row r="361" spans="1:5" x14ac:dyDescent="0.3">
      <c r="A361" s="42"/>
      <c r="B361" s="40"/>
      <c r="C361" s="42"/>
      <c r="D361" s="40"/>
      <c r="E361" s="40"/>
    </row>
    <row r="362" spans="1:5" x14ac:dyDescent="0.3">
      <c r="A362" s="42"/>
      <c r="B362" s="40"/>
      <c r="C362" s="42"/>
      <c r="D362" s="40"/>
      <c r="E362" s="40"/>
    </row>
    <row r="363" spans="1:5" x14ac:dyDescent="0.3">
      <c r="A363" s="42"/>
      <c r="B363" s="40"/>
      <c r="C363" s="42"/>
      <c r="D363" s="40"/>
      <c r="E363" s="40"/>
    </row>
    <row r="364" spans="1:5" x14ac:dyDescent="0.3">
      <c r="A364" s="42"/>
      <c r="B364" s="40"/>
      <c r="C364" s="42"/>
      <c r="D364" s="40"/>
      <c r="E364" s="40"/>
    </row>
    <row r="365" spans="1:5" x14ac:dyDescent="0.3">
      <c r="A365" s="42"/>
      <c r="B365" s="40"/>
      <c r="C365" s="42"/>
      <c r="D365" s="40"/>
      <c r="E365" s="40"/>
    </row>
    <row r="366" spans="1:5" x14ac:dyDescent="0.3">
      <c r="A366" s="42"/>
      <c r="B366" s="40"/>
      <c r="C366" s="42"/>
      <c r="D366" s="40"/>
      <c r="E366" s="40"/>
    </row>
    <row r="367" spans="1:5" x14ac:dyDescent="0.3">
      <c r="A367" s="42"/>
      <c r="B367" s="40"/>
      <c r="C367" s="42"/>
      <c r="D367" s="40"/>
      <c r="E367" s="40"/>
    </row>
    <row r="368" spans="1:5" x14ac:dyDescent="0.3">
      <c r="A368" s="42"/>
      <c r="B368" s="40"/>
      <c r="C368" s="42"/>
      <c r="D368" s="40"/>
      <c r="E368" s="40"/>
    </row>
    <row r="369" spans="1:5" x14ac:dyDescent="0.3">
      <c r="A369" s="42"/>
      <c r="B369" s="40"/>
      <c r="C369" s="42"/>
      <c r="D369" s="40"/>
      <c r="E369" s="40"/>
    </row>
    <row r="370" spans="1:5" x14ac:dyDescent="0.3">
      <c r="A370" s="42"/>
      <c r="B370" s="40"/>
      <c r="C370" s="42"/>
      <c r="D370" s="40"/>
      <c r="E370" s="40"/>
    </row>
    <row r="371" spans="1:5" x14ac:dyDescent="0.3">
      <c r="A371" s="42"/>
      <c r="B371" s="40"/>
      <c r="C371" s="42"/>
      <c r="D371" s="40"/>
      <c r="E371" s="40"/>
    </row>
    <row r="372" spans="1:5" x14ac:dyDescent="0.3">
      <c r="A372" s="42"/>
      <c r="B372" s="40"/>
      <c r="C372" s="42"/>
      <c r="D372" s="40"/>
      <c r="E372" s="40"/>
    </row>
    <row r="373" spans="1:5" x14ac:dyDescent="0.3">
      <c r="A373" s="42"/>
      <c r="B373" s="40"/>
      <c r="C373" s="42"/>
      <c r="D373" s="40"/>
      <c r="E373" s="40"/>
    </row>
    <row r="374" spans="1:5" x14ac:dyDescent="0.3">
      <c r="A374" s="42"/>
      <c r="B374" s="40"/>
      <c r="C374" s="42"/>
      <c r="D374" s="40"/>
      <c r="E374" s="40"/>
    </row>
    <row r="375" spans="1:5" x14ac:dyDescent="0.3">
      <c r="A375" s="42"/>
      <c r="B375" s="40"/>
      <c r="C375" s="42"/>
      <c r="D375" s="40"/>
      <c r="E375" s="40"/>
    </row>
    <row r="376" spans="1:5" x14ac:dyDescent="0.3">
      <c r="A376" s="42"/>
      <c r="B376" s="40"/>
      <c r="C376" s="42"/>
      <c r="D376" s="40"/>
      <c r="E376" s="40"/>
    </row>
    <row r="377" spans="1:5" x14ac:dyDescent="0.3">
      <c r="A377" s="42"/>
      <c r="B377" s="40"/>
      <c r="C377" s="42"/>
      <c r="D377" s="40"/>
      <c r="E377" s="40"/>
    </row>
    <row r="378" spans="1:5" x14ac:dyDescent="0.3">
      <c r="A378" s="42"/>
      <c r="B378" s="40"/>
      <c r="C378" s="42"/>
      <c r="D378" s="40"/>
      <c r="E378" s="40"/>
    </row>
    <row r="379" spans="1:5" x14ac:dyDescent="0.3">
      <c r="A379" s="42"/>
      <c r="B379" s="40"/>
      <c r="C379" s="42"/>
      <c r="D379" s="40"/>
      <c r="E379" s="40"/>
    </row>
    <row r="380" spans="1:5" x14ac:dyDescent="0.3">
      <c r="A380" s="42"/>
      <c r="B380" s="40"/>
      <c r="C380" s="42"/>
      <c r="D380" s="40"/>
      <c r="E380" s="40"/>
    </row>
    <row r="381" spans="1:5" x14ac:dyDescent="0.3">
      <c r="A381" s="42"/>
      <c r="B381" s="40"/>
      <c r="C381" s="42"/>
      <c r="D381" s="40"/>
      <c r="E381" s="40"/>
    </row>
    <row r="382" spans="1:5" x14ac:dyDescent="0.3">
      <c r="A382" s="42"/>
      <c r="B382" s="40"/>
      <c r="C382" s="42"/>
      <c r="D382" s="40"/>
      <c r="E382" s="40"/>
    </row>
    <row r="383" spans="1:5" x14ac:dyDescent="0.3">
      <c r="A383" s="42"/>
      <c r="B383" s="40"/>
      <c r="C383" s="42"/>
      <c r="D383" s="40"/>
      <c r="E383" s="40"/>
    </row>
    <row r="384" spans="1:5" x14ac:dyDescent="0.3">
      <c r="A384" s="42"/>
      <c r="B384" s="40"/>
      <c r="C384" s="42"/>
      <c r="D384" s="40"/>
      <c r="E384" s="40"/>
    </row>
    <row r="385" spans="1:5" x14ac:dyDescent="0.3">
      <c r="A385" s="42"/>
      <c r="B385" s="40"/>
      <c r="C385" s="42"/>
      <c r="D385" s="40"/>
      <c r="E385" s="40"/>
    </row>
    <row r="386" spans="1:5" x14ac:dyDescent="0.3">
      <c r="A386" s="42"/>
      <c r="B386" s="40"/>
      <c r="C386" s="42"/>
      <c r="D386" s="40"/>
      <c r="E386" s="40"/>
    </row>
    <row r="387" spans="1:5" x14ac:dyDescent="0.3">
      <c r="A387" s="42"/>
      <c r="B387" s="40"/>
      <c r="C387" s="42"/>
      <c r="D387" s="40"/>
      <c r="E387" s="40"/>
    </row>
    <row r="388" spans="1:5" x14ac:dyDescent="0.3">
      <c r="A388" s="42"/>
      <c r="B388" s="40"/>
      <c r="C388" s="42"/>
      <c r="D388" s="40"/>
      <c r="E388" s="40"/>
    </row>
    <row r="389" spans="1:5" x14ac:dyDescent="0.3">
      <c r="A389" s="42"/>
      <c r="B389" s="40"/>
      <c r="C389" s="42"/>
      <c r="D389" s="40"/>
      <c r="E389" s="40"/>
    </row>
    <row r="390" spans="1:5" x14ac:dyDescent="0.3">
      <c r="A390" s="42"/>
      <c r="B390" s="40"/>
      <c r="C390" s="42"/>
      <c r="D390" s="40"/>
      <c r="E390" s="40"/>
    </row>
    <row r="391" spans="1:5" x14ac:dyDescent="0.3">
      <c r="A391" s="42"/>
      <c r="B391" s="40"/>
      <c r="C391" s="42"/>
      <c r="D391" s="40"/>
      <c r="E391" s="40"/>
    </row>
    <row r="392" spans="1:5" x14ac:dyDescent="0.3">
      <c r="A392" s="42"/>
      <c r="B392" s="40"/>
      <c r="C392" s="42"/>
      <c r="D392" s="40"/>
      <c r="E392" s="40"/>
    </row>
    <row r="393" spans="1:5" x14ac:dyDescent="0.3">
      <c r="A393" s="42"/>
      <c r="B393" s="40"/>
      <c r="C393" s="42"/>
      <c r="D393" s="40"/>
      <c r="E393" s="40"/>
    </row>
    <row r="394" spans="1:5" x14ac:dyDescent="0.3">
      <c r="A394" s="42"/>
      <c r="B394" s="40"/>
      <c r="C394" s="42"/>
      <c r="D394" s="40"/>
      <c r="E394" s="40"/>
    </row>
    <row r="395" spans="1:5" x14ac:dyDescent="0.3">
      <c r="A395" s="42"/>
      <c r="B395" s="40"/>
      <c r="C395" s="42"/>
      <c r="D395" s="40"/>
      <c r="E395" s="40"/>
    </row>
    <row r="396" spans="1:5" x14ac:dyDescent="0.3">
      <c r="A396" s="42"/>
      <c r="B396" s="40"/>
      <c r="C396" s="42"/>
      <c r="D396" s="40"/>
      <c r="E396" s="40"/>
    </row>
    <row r="397" spans="1:5" x14ac:dyDescent="0.3">
      <c r="A397" s="42"/>
      <c r="B397" s="40"/>
      <c r="C397" s="42"/>
      <c r="D397" s="40"/>
      <c r="E397" s="40"/>
    </row>
    <row r="398" spans="1:5" x14ac:dyDescent="0.3">
      <c r="A398" s="42"/>
      <c r="B398" s="40"/>
      <c r="C398" s="42"/>
      <c r="D398" s="40"/>
      <c r="E398" s="40"/>
    </row>
    <row r="399" spans="1:5" x14ac:dyDescent="0.3">
      <c r="A399" s="42"/>
      <c r="B399" s="40"/>
      <c r="C399" s="42"/>
      <c r="D399" s="40"/>
      <c r="E399" s="40"/>
    </row>
    <row r="400" spans="1:5" x14ac:dyDescent="0.3">
      <c r="A400" s="42"/>
      <c r="B400" s="40"/>
      <c r="C400" s="42"/>
      <c r="D400" s="40"/>
      <c r="E400" s="40"/>
    </row>
    <row r="401" spans="1:5" x14ac:dyDescent="0.3">
      <c r="A401" s="42"/>
      <c r="B401" s="40"/>
      <c r="C401" s="42"/>
      <c r="D401" s="40"/>
      <c r="E401" s="40"/>
    </row>
    <row r="402" spans="1:5" x14ac:dyDescent="0.3">
      <c r="A402" s="42"/>
      <c r="B402" s="40"/>
      <c r="C402" s="42"/>
      <c r="D402" s="40"/>
      <c r="E402" s="40"/>
    </row>
    <row r="403" spans="1:5" x14ac:dyDescent="0.3">
      <c r="A403" s="42"/>
      <c r="B403" s="40"/>
      <c r="C403" s="42"/>
      <c r="D403" s="40"/>
      <c r="E403" s="40"/>
    </row>
    <row r="404" spans="1:5" x14ac:dyDescent="0.3">
      <c r="A404" s="42"/>
      <c r="B404" s="40"/>
      <c r="C404" s="42"/>
      <c r="D404" s="40"/>
      <c r="E404" s="40"/>
    </row>
    <row r="405" spans="1:5" x14ac:dyDescent="0.3">
      <c r="A405" s="42"/>
      <c r="B405" s="40"/>
      <c r="C405" s="42"/>
      <c r="D405" s="40"/>
      <c r="E405" s="40"/>
    </row>
    <row r="406" spans="1:5" x14ac:dyDescent="0.3">
      <c r="A406" s="42"/>
      <c r="B406" s="40"/>
      <c r="C406" s="42"/>
      <c r="D406" s="40"/>
      <c r="E406" s="40"/>
    </row>
    <row r="407" spans="1:5" x14ac:dyDescent="0.3">
      <c r="A407" s="42"/>
      <c r="B407" s="40"/>
      <c r="C407" s="42"/>
      <c r="D407" s="40"/>
      <c r="E407" s="40"/>
    </row>
    <row r="408" spans="1:5" x14ac:dyDescent="0.3">
      <c r="A408" s="42"/>
      <c r="B408" s="40"/>
      <c r="C408" s="42"/>
      <c r="D408" s="40"/>
      <c r="E408" s="40"/>
    </row>
    <row r="409" spans="1:5" x14ac:dyDescent="0.3">
      <c r="A409" s="42"/>
      <c r="B409" s="40"/>
      <c r="C409" s="42"/>
      <c r="D409" s="40"/>
      <c r="E409" s="40"/>
    </row>
    <row r="410" spans="1:5" x14ac:dyDescent="0.3">
      <c r="A410" s="42"/>
      <c r="B410" s="40"/>
      <c r="C410" s="42"/>
      <c r="D410" s="40"/>
      <c r="E410" s="40"/>
    </row>
    <row r="411" spans="1:5" x14ac:dyDescent="0.3">
      <c r="A411" s="42"/>
      <c r="B411" s="40"/>
      <c r="C411" s="42"/>
      <c r="D411" s="40"/>
      <c r="E411" s="40"/>
    </row>
    <row r="412" spans="1:5" x14ac:dyDescent="0.3">
      <c r="A412" s="42"/>
      <c r="B412" s="40"/>
      <c r="C412" s="42"/>
      <c r="D412" s="40"/>
      <c r="E412" s="40"/>
    </row>
    <row r="413" spans="1:5" x14ac:dyDescent="0.3">
      <c r="A413" s="42"/>
      <c r="B413" s="40"/>
      <c r="C413" s="42"/>
      <c r="D413" s="40"/>
      <c r="E413" s="40"/>
    </row>
    <row r="414" spans="1:5" x14ac:dyDescent="0.3">
      <c r="A414" s="42"/>
      <c r="B414" s="40"/>
      <c r="C414" s="42"/>
      <c r="D414" s="40"/>
      <c r="E414" s="40"/>
    </row>
    <row r="415" spans="1:5" x14ac:dyDescent="0.3">
      <c r="A415" s="42"/>
      <c r="B415" s="40"/>
      <c r="C415" s="42"/>
      <c r="D415" s="40"/>
      <c r="E415" s="40"/>
    </row>
    <row r="416" spans="1:5" x14ac:dyDescent="0.3">
      <c r="A416" s="42"/>
      <c r="B416" s="40"/>
      <c r="C416" s="42"/>
      <c r="D416" s="40"/>
      <c r="E416" s="40"/>
    </row>
    <row r="417" spans="1:5" x14ac:dyDescent="0.3">
      <c r="A417" s="42"/>
      <c r="B417" s="40"/>
      <c r="C417" s="42"/>
      <c r="D417" s="40"/>
      <c r="E417" s="40"/>
    </row>
    <row r="418" spans="1:5" x14ac:dyDescent="0.3">
      <c r="A418" s="42"/>
      <c r="B418" s="40"/>
      <c r="C418" s="42"/>
      <c r="D418" s="40"/>
      <c r="E418" s="40"/>
    </row>
    <row r="419" spans="1:5" x14ac:dyDescent="0.3">
      <c r="A419" s="42"/>
      <c r="B419" s="40"/>
      <c r="C419" s="42"/>
      <c r="D419" s="40"/>
      <c r="E419" s="40"/>
    </row>
    <row r="420" spans="1:5" x14ac:dyDescent="0.3">
      <c r="A420" s="42"/>
      <c r="B420" s="40"/>
      <c r="C420" s="42"/>
      <c r="D420" s="40"/>
      <c r="E420" s="40"/>
    </row>
    <row r="421" spans="1:5" x14ac:dyDescent="0.3">
      <c r="A421" s="42"/>
      <c r="B421" s="40"/>
      <c r="C421" s="42"/>
      <c r="D421" s="40"/>
      <c r="E421" s="40"/>
    </row>
    <row r="422" spans="1:5" x14ac:dyDescent="0.3">
      <c r="A422" s="42"/>
      <c r="B422" s="40"/>
      <c r="C422" s="42"/>
      <c r="D422" s="40"/>
      <c r="E422" s="40"/>
    </row>
    <row r="423" spans="1:5" x14ac:dyDescent="0.3">
      <c r="A423" s="42"/>
      <c r="B423" s="40"/>
      <c r="C423" s="42"/>
      <c r="D423" s="40"/>
      <c r="E423" s="40"/>
    </row>
    <row r="424" spans="1:5" x14ac:dyDescent="0.3">
      <c r="A424" s="42"/>
      <c r="B424" s="40"/>
      <c r="C424" s="42"/>
      <c r="D424" s="40"/>
      <c r="E424" s="40"/>
    </row>
    <row r="425" spans="1:5" x14ac:dyDescent="0.3">
      <c r="A425" s="42"/>
      <c r="B425" s="40"/>
      <c r="C425" s="42"/>
      <c r="D425" s="40"/>
      <c r="E425" s="40"/>
    </row>
    <row r="426" spans="1:5" x14ac:dyDescent="0.3">
      <c r="A426" s="42"/>
      <c r="B426" s="40"/>
      <c r="C426" s="42"/>
      <c r="D426" s="40"/>
      <c r="E426" s="40"/>
    </row>
    <row r="427" spans="1:5" x14ac:dyDescent="0.3">
      <c r="A427" s="42"/>
      <c r="B427" s="40"/>
      <c r="C427" s="42"/>
      <c r="D427" s="40"/>
      <c r="E427" s="40"/>
    </row>
    <row r="428" spans="1:5" x14ac:dyDescent="0.3">
      <c r="A428" s="42"/>
      <c r="B428" s="40"/>
      <c r="C428" s="42"/>
      <c r="D428" s="40"/>
      <c r="E428" s="40"/>
    </row>
    <row r="429" spans="1:5" x14ac:dyDescent="0.3">
      <c r="A429" s="42"/>
      <c r="B429" s="40"/>
      <c r="C429" s="42"/>
      <c r="D429" s="40"/>
      <c r="E429" s="40"/>
    </row>
    <row r="430" spans="1:5" x14ac:dyDescent="0.3">
      <c r="A430" s="42"/>
      <c r="B430" s="40"/>
      <c r="C430" s="42"/>
      <c r="D430" s="40"/>
      <c r="E430" s="40"/>
    </row>
    <row r="431" spans="1:5" x14ac:dyDescent="0.3">
      <c r="A431" s="42"/>
      <c r="B431" s="40"/>
      <c r="C431" s="42"/>
      <c r="D431" s="40"/>
      <c r="E431" s="40"/>
    </row>
    <row r="432" spans="1:5" x14ac:dyDescent="0.3">
      <c r="A432" s="42"/>
      <c r="B432" s="40"/>
      <c r="C432" s="42"/>
      <c r="D432" s="40"/>
      <c r="E432" s="40"/>
    </row>
    <row r="433" spans="1:5" x14ac:dyDescent="0.3">
      <c r="A433" s="42"/>
      <c r="B433" s="40"/>
      <c r="C433" s="42"/>
      <c r="D433" s="40"/>
      <c r="E433" s="40"/>
    </row>
    <row r="434" spans="1:5" x14ac:dyDescent="0.3">
      <c r="A434" s="42"/>
      <c r="B434" s="40"/>
      <c r="C434" s="42"/>
      <c r="D434" s="40"/>
      <c r="E434" s="40"/>
    </row>
    <row r="435" spans="1:5" x14ac:dyDescent="0.3">
      <c r="A435" s="42"/>
      <c r="B435" s="40"/>
      <c r="C435" s="42"/>
      <c r="D435" s="40"/>
      <c r="E435" s="40"/>
    </row>
    <row r="436" spans="1:5" x14ac:dyDescent="0.3">
      <c r="A436" s="42"/>
      <c r="B436" s="40"/>
      <c r="C436" s="42"/>
      <c r="D436" s="40"/>
      <c r="E436" s="40"/>
    </row>
    <row r="437" spans="1:5" x14ac:dyDescent="0.3">
      <c r="A437" s="42"/>
      <c r="B437" s="40"/>
      <c r="C437" s="42"/>
      <c r="D437" s="40"/>
      <c r="E437" s="40"/>
    </row>
    <row r="438" spans="1:5" x14ac:dyDescent="0.3">
      <c r="A438" s="42"/>
      <c r="B438" s="40"/>
      <c r="C438" s="42"/>
      <c r="D438" s="40"/>
      <c r="E438" s="40"/>
    </row>
    <row r="439" spans="1:5" x14ac:dyDescent="0.3">
      <c r="A439" s="42"/>
      <c r="B439" s="40"/>
      <c r="C439" s="42"/>
      <c r="D439" s="40"/>
      <c r="E439" s="40"/>
    </row>
    <row r="440" spans="1:5" x14ac:dyDescent="0.3">
      <c r="A440" s="42"/>
      <c r="B440" s="40"/>
      <c r="C440" s="42"/>
      <c r="D440" s="40"/>
      <c r="E440" s="40"/>
    </row>
    <row r="441" spans="1:5" x14ac:dyDescent="0.3">
      <c r="A441" s="42"/>
      <c r="B441" s="40"/>
      <c r="C441" s="42"/>
      <c r="D441" s="40"/>
      <c r="E441" s="40"/>
    </row>
    <row r="442" spans="1:5" x14ac:dyDescent="0.3">
      <c r="A442" s="42"/>
      <c r="B442" s="40"/>
      <c r="C442" s="42"/>
      <c r="D442" s="40"/>
      <c r="E442" s="40"/>
    </row>
    <row r="443" spans="1:5" x14ac:dyDescent="0.3">
      <c r="A443" s="42"/>
      <c r="B443" s="40"/>
      <c r="C443" s="42"/>
      <c r="D443" s="40"/>
      <c r="E443" s="40"/>
    </row>
    <row r="444" spans="1:5" x14ac:dyDescent="0.3">
      <c r="A444" s="42"/>
      <c r="B444" s="40"/>
      <c r="C444" s="42"/>
      <c r="D444" s="40"/>
      <c r="E444" s="40"/>
    </row>
    <row r="445" spans="1:5" x14ac:dyDescent="0.3">
      <c r="A445" s="42"/>
      <c r="B445" s="40"/>
      <c r="C445" s="42"/>
      <c r="D445" s="40"/>
      <c r="E445" s="40"/>
    </row>
    <row r="446" spans="1:5" x14ac:dyDescent="0.3">
      <c r="A446" s="42"/>
      <c r="B446" s="40"/>
      <c r="C446" s="42"/>
      <c r="D446" s="40"/>
      <c r="E446" s="40"/>
    </row>
    <row r="447" spans="1:5" x14ac:dyDescent="0.3">
      <c r="A447" s="42"/>
      <c r="B447" s="40"/>
      <c r="C447" s="42"/>
      <c r="D447" s="40"/>
      <c r="E447" s="40"/>
    </row>
    <row r="448" spans="1:5" x14ac:dyDescent="0.3">
      <c r="A448" s="42"/>
      <c r="B448" s="40"/>
      <c r="C448" s="42"/>
      <c r="D448" s="40"/>
      <c r="E448" s="40"/>
    </row>
    <row r="449" spans="1:5" x14ac:dyDescent="0.3">
      <c r="A449" s="42"/>
      <c r="B449" s="40"/>
      <c r="C449" s="42"/>
      <c r="D449" s="40"/>
      <c r="E449" s="40"/>
    </row>
    <row r="450" spans="1:5" x14ac:dyDescent="0.3">
      <c r="A450" s="42"/>
      <c r="B450" s="40"/>
      <c r="C450" s="42"/>
      <c r="D450" s="40"/>
      <c r="E450" s="40"/>
    </row>
    <row r="451" spans="1:5" x14ac:dyDescent="0.3">
      <c r="A451" s="42"/>
      <c r="B451" s="40"/>
      <c r="C451" s="42"/>
      <c r="D451" s="40"/>
      <c r="E451" s="40"/>
    </row>
    <row r="452" spans="1:5" x14ac:dyDescent="0.3">
      <c r="A452" s="42"/>
      <c r="B452" s="40"/>
      <c r="C452" s="42"/>
      <c r="D452" s="40"/>
      <c r="E452" s="40"/>
    </row>
    <row r="453" spans="1:5" x14ac:dyDescent="0.3">
      <c r="A453" s="42"/>
      <c r="B453" s="40"/>
      <c r="C453" s="42"/>
      <c r="D453" s="40"/>
      <c r="E453" s="40"/>
    </row>
    <row r="454" spans="1:5" x14ac:dyDescent="0.3">
      <c r="A454" s="42"/>
      <c r="B454" s="40"/>
      <c r="C454" s="42"/>
      <c r="D454" s="40"/>
      <c r="E454" s="40"/>
    </row>
    <row r="455" spans="1:5" x14ac:dyDescent="0.3">
      <c r="A455" s="42"/>
      <c r="B455" s="40"/>
      <c r="C455" s="42"/>
      <c r="D455" s="40"/>
      <c r="E455" s="40"/>
    </row>
    <row r="456" spans="1:5" x14ac:dyDescent="0.3">
      <c r="A456" s="42"/>
      <c r="B456" s="40"/>
      <c r="C456" s="42"/>
      <c r="D456" s="40"/>
      <c r="E456" s="40"/>
    </row>
    <row r="457" spans="1:5" x14ac:dyDescent="0.3">
      <c r="A457" s="42"/>
      <c r="B457" s="40"/>
      <c r="C457" s="42"/>
      <c r="D457" s="40"/>
      <c r="E457" s="40"/>
    </row>
    <row r="458" spans="1:5" x14ac:dyDescent="0.3">
      <c r="A458" s="42"/>
      <c r="B458" s="40"/>
      <c r="C458" s="42"/>
      <c r="D458" s="40"/>
      <c r="E458" s="40"/>
    </row>
    <row r="459" spans="1:5" x14ac:dyDescent="0.3">
      <c r="A459" s="42"/>
      <c r="B459" s="40"/>
      <c r="C459" s="42"/>
      <c r="D459" s="40"/>
      <c r="E459" s="40"/>
    </row>
    <row r="460" spans="1:5" x14ac:dyDescent="0.3">
      <c r="A460" s="42"/>
      <c r="B460" s="40"/>
      <c r="C460" s="42"/>
      <c r="D460" s="40"/>
      <c r="E460" s="40"/>
    </row>
    <row r="461" spans="1:5" x14ac:dyDescent="0.3">
      <c r="A461" s="42"/>
      <c r="B461" s="40"/>
      <c r="C461" s="42"/>
      <c r="D461" s="40"/>
      <c r="E461" s="40"/>
    </row>
    <row r="462" spans="1:5" x14ac:dyDescent="0.3">
      <c r="A462" s="42"/>
      <c r="B462" s="40"/>
      <c r="C462" s="42"/>
      <c r="D462" s="40"/>
      <c r="E462" s="40"/>
    </row>
    <row r="463" spans="1:5" x14ac:dyDescent="0.3">
      <c r="A463" s="42"/>
      <c r="B463" s="40"/>
      <c r="C463" s="42"/>
      <c r="D463" s="40"/>
      <c r="E463" s="40"/>
    </row>
    <row r="464" spans="1:5" x14ac:dyDescent="0.3">
      <c r="A464" s="42"/>
      <c r="B464" s="40"/>
      <c r="C464" s="42"/>
      <c r="D464" s="40"/>
      <c r="E464" s="40"/>
    </row>
    <row r="465" spans="1:5" x14ac:dyDescent="0.3">
      <c r="A465" s="42"/>
      <c r="B465" s="40"/>
      <c r="C465" s="42"/>
      <c r="D465" s="40"/>
      <c r="E465" s="40"/>
    </row>
    <row r="466" spans="1:5" x14ac:dyDescent="0.3">
      <c r="A466" s="42"/>
      <c r="B466" s="40"/>
      <c r="C466" s="42"/>
      <c r="D466" s="40"/>
      <c r="E466" s="40"/>
    </row>
    <row r="467" spans="1:5" x14ac:dyDescent="0.3">
      <c r="A467" s="42"/>
      <c r="B467" s="40"/>
      <c r="C467" s="42"/>
      <c r="D467" s="40"/>
      <c r="E467" s="40"/>
    </row>
    <row r="468" spans="1:5" x14ac:dyDescent="0.3">
      <c r="A468" s="42"/>
      <c r="B468" s="40"/>
      <c r="C468" s="42"/>
      <c r="D468" s="40"/>
      <c r="E468" s="40"/>
    </row>
    <row r="469" spans="1:5" x14ac:dyDescent="0.3">
      <c r="A469" s="42"/>
      <c r="B469" s="40"/>
      <c r="C469" s="42"/>
      <c r="D469" s="40"/>
      <c r="E469" s="40"/>
    </row>
    <row r="470" spans="1:5" x14ac:dyDescent="0.3">
      <c r="A470" s="42"/>
      <c r="B470" s="40"/>
      <c r="C470" s="42"/>
      <c r="D470" s="40"/>
      <c r="E470" s="40"/>
    </row>
    <row r="471" spans="1:5" x14ac:dyDescent="0.3">
      <c r="A471" s="42"/>
      <c r="B471" s="40"/>
      <c r="C471" s="42"/>
      <c r="D471" s="40"/>
      <c r="E471" s="40"/>
    </row>
    <row r="472" spans="1:5" x14ac:dyDescent="0.3">
      <c r="A472" s="42"/>
      <c r="B472" s="40"/>
      <c r="C472" s="42"/>
      <c r="D472" s="40"/>
      <c r="E472" s="40"/>
    </row>
    <row r="473" spans="1:5" x14ac:dyDescent="0.3">
      <c r="A473" s="42"/>
      <c r="B473" s="40"/>
      <c r="C473" s="42"/>
      <c r="D473" s="40"/>
      <c r="E473" s="40"/>
    </row>
    <row r="474" spans="1:5" x14ac:dyDescent="0.3">
      <c r="A474" s="42"/>
      <c r="B474" s="40"/>
      <c r="C474" s="42"/>
      <c r="D474" s="40"/>
      <c r="E474" s="40"/>
    </row>
    <row r="475" spans="1:5" x14ac:dyDescent="0.3">
      <c r="A475" s="42"/>
      <c r="B475" s="40"/>
      <c r="C475" s="42"/>
      <c r="D475" s="40"/>
      <c r="E475" s="40"/>
    </row>
    <row r="476" spans="1:5" x14ac:dyDescent="0.3">
      <c r="A476" s="42"/>
      <c r="B476" s="40"/>
      <c r="C476" s="42"/>
      <c r="D476" s="40"/>
      <c r="E476" s="40"/>
    </row>
    <row r="477" spans="1:5" x14ac:dyDescent="0.3">
      <c r="A477" s="42"/>
      <c r="B477" s="40"/>
      <c r="C477" s="42"/>
      <c r="D477" s="40"/>
      <c r="E477" s="40"/>
    </row>
    <row r="478" spans="1:5" x14ac:dyDescent="0.3">
      <c r="A478" s="42"/>
      <c r="B478" s="40"/>
      <c r="C478" s="42"/>
      <c r="D478" s="40"/>
      <c r="E478" s="40"/>
    </row>
    <row r="479" spans="1:5" x14ac:dyDescent="0.3">
      <c r="A479" s="42"/>
      <c r="B479" s="40"/>
      <c r="C479" s="42"/>
      <c r="D479" s="40"/>
      <c r="E479" s="40"/>
    </row>
    <row r="480" spans="1:5" x14ac:dyDescent="0.3">
      <c r="A480" s="42"/>
      <c r="B480" s="40"/>
      <c r="C480" s="42"/>
      <c r="D480" s="40"/>
      <c r="E480" s="40"/>
    </row>
    <row r="481" spans="1:5" x14ac:dyDescent="0.3">
      <c r="A481" s="42"/>
      <c r="B481" s="40"/>
      <c r="C481" s="42"/>
      <c r="D481" s="40"/>
      <c r="E481" s="40"/>
    </row>
    <row r="482" spans="1:5" x14ac:dyDescent="0.3">
      <c r="A482" s="42"/>
      <c r="B482" s="40"/>
      <c r="C482" s="42"/>
      <c r="D482" s="40"/>
      <c r="E482" s="40"/>
    </row>
    <row r="483" spans="1:5" x14ac:dyDescent="0.3">
      <c r="A483" s="42"/>
      <c r="B483" s="40"/>
      <c r="C483" s="42"/>
      <c r="D483" s="40"/>
      <c r="E483" s="40"/>
    </row>
    <row r="484" spans="1:5" x14ac:dyDescent="0.3">
      <c r="A484" s="42"/>
      <c r="B484" s="40"/>
      <c r="C484" s="42"/>
      <c r="D484" s="40"/>
      <c r="E484" s="40"/>
    </row>
    <row r="485" spans="1:5" x14ac:dyDescent="0.3">
      <c r="A485" s="42"/>
      <c r="B485" s="40"/>
      <c r="C485" s="42"/>
      <c r="D485" s="40"/>
      <c r="E485" s="40"/>
    </row>
    <row r="486" spans="1:5" x14ac:dyDescent="0.3">
      <c r="A486" s="42"/>
      <c r="B486" s="40"/>
      <c r="C486" s="42"/>
      <c r="D486" s="40"/>
      <c r="E486" s="40"/>
    </row>
    <row r="487" spans="1:5" x14ac:dyDescent="0.3">
      <c r="A487" s="42"/>
      <c r="B487" s="40"/>
      <c r="C487" s="42"/>
      <c r="D487" s="40"/>
      <c r="E487" s="40"/>
    </row>
    <row r="488" spans="1:5" x14ac:dyDescent="0.3">
      <c r="A488" s="42"/>
      <c r="B488" s="40"/>
      <c r="C488" s="42"/>
      <c r="D488" s="40"/>
      <c r="E488" s="40"/>
    </row>
    <row r="489" spans="1:5" x14ac:dyDescent="0.3">
      <c r="A489" s="42"/>
      <c r="B489" s="40"/>
      <c r="C489" s="42"/>
      <c r="D489" s="40"/>
      <c r="E489" s="40"/>
    </row>
    <row r="490" spans="1:5" x14ac:dyDescent="0.3">
      <c r="A490" s="42"/>
      <c r="B490" s="40"/>
      <c r="C490" s="42"/>
      <c r="D490" s="40"/>
      <c r="E490" s="40"/>
    </row>
    <row r="491" spans="1:5" x14ac:dyDescent="0.3">
      <c r="A491" s="42"/>
      <c r="B491" s="40"/>
      <c r="C491" s="42"/>
      <c r="D491" s="40"/>
      <c r="E491" s="40"/>
    </row>
    <row r="492" spans="1:5" x14ac:dyDescent="0.3">
      <c r="A492" s="42"/>
      <c r="B492" s="40"/>
      <c r="C492" s="42"/>
      <c r="D492" s="40"/>
      <c r="E492" s="40"/>
    </row>
    <row r="493" spans="1:5" x14ac:dyDescent="0.3">
      <c r="A493" s="42"/>
      <c r="B493" s="40"/>
      <c r="C493" s="42"/>
      <c r="D493" s="40"/>
      <c r="E493" s="40"/>
    </row>
    <row r="494" spans="1:5" x14ac:dyDescent="0.3">
      <c r="A494" s="42"/>
      <c r="B494" s="40"/>
      <c r="C494" s="42"/>
      <c r="D494" s="40"/>
      <c r="E494" s="40"/>
    </row>
    <row r="495" spans="1:5" x14ac:dyDescent="0.3">
      <c r="A495" s="42"/>
      <c r="B495" s="40"/>
      <c r="C495" s="42"/>
      <c r="D495" s="40"/>
      <c r="E495" s="40"/>
    </row>
    <row r="496" spans="1:5" x14ac:dyDescent="0.3">
      <c r="A496" s="42"/>
      <c r="B496" s="40"/>
      <c r="C496" s="42"/>
      <c r="D496" s="40"/>
      <c r="E496" s="40"/>
    </row>
    <row r="497" spans="1:5" x14ac:dyDescent="0.3">
      <c r="A497" s="42"/>
      <c r="B497" s="40"/>
      <c r="C497" s="42"/>
      <c r="D497" s="40"/>
      <c r="E497" s="40"/>
    </row>
    <row r="498" spans="1:5" x14ac:dyDescent="0.3">
      <c r="A498" s="42"/>
      <c r="B498" s="40"/>
      <c r="C498" s="42"/>
      <c r="D498" s="40"/>
      <c r="E498" s="40"/>
    </row>
    <row r="499" spans="1:5" x14ac:dyDescent="0.3">
      <c r="A499" s="42"/>
      <c r="B499" s="40"/>
      <c r="C499" s="42"/>
      <c r="D499" s="40"/>
      <c r="E499" s="40"/>
    </row>
    <row r="500" spans="1:5" x14ac:dyDescent="0.3">
      <c r="A500" s="42"/>
      <c r="B500" s="40"/>
      <c r="C500" s="42"/>
      <c r="D500" s="40"/>
      <c r="E500" s="40"/>
    </row>
    <row r="501" spans="1:5" x14ac:dyDescent="0.3">
      <c r="A501" s="42"/>
      <c r="B501" s="40"/>
      <c r="C501" s="42"/>
      <c r="D501" s="40"/>
      <c r="E501" s="40"/>
    </row>
    <row r="502" spans="1:5" x14ac:dyDescent="0.3">
      <c r="A502" s="42"/>
      <c r="B502" s="40"/>
      <c r="C502" s="42"/>
      <c r="D502" s="40"/>
      <c r="E502" s="40"/>
    </row>
    <row r="503" spans="1:5" x14ac:dyDescent="0.3">
      <c r="A503" s="33"/>
      <c r="B503" s="32"/>
      <c r="C503" s="33"/>
      <c r="D503" s="32"/>
      <c r="E503" s="32"/>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DDD4-7303-4730-9405-E95FC655E00E}">
  <dimension ref="A1:L28"/>
  <sheetViews>
    <sheetView topLeftCell="E7" zoomScale="68" zoomScaleNormal="68" workbookViewId="0">
      <selection activeCell="C28" sqref="C28"/>
    </sheetView>
  </sheetViews>
  <sheetFormatPr defaultRowHeight="14.4" x14ac:dyDescent="0.3"/>
  <cols>
    <col min="1" max="1" width="3.44140625" style="1" customWidth="1"/>
    <col min="2" max="2" width="22.6640625" style="1" customWidth="1"/>
    <col min="3" max="4" width="44.6640625" style="15" customWidth="1"/>
    <col min="5" max="5" width="5" style="14" customWidth="1"/>
    <col min="6" max="6" width="20.88671875" style="14" customWidth="1"/>
    <col min="7" max="8" width="47.88671875" style="15" customWidth="1"/>
    <col min="9" max="9" width="8.88671875" style="14"/>
    <col min="10" max="10" width="44.5546875" style="14" customWidth="1"/>
    <col min="11" max="11" width="47.88671875" style="15" customWidth="1"/>
    <col min="12" max="12" width="47.77734375" style="15" customWidth="1"/>
  </cols>
  <sheetData>
    <row r="1" spans="1:12" s="5" customFormat="1" x14ac:dyDescent="0.3">
      <c r="A1" s="3" t="s">
        <v>1235</v>
      </c>
      <c r="B1" s="3" t="s">
        <v>1234</v>
      </c>
      <c r="C1" s="30" t="s">
        <v>1420</v>
      </c>
      <c r="D1" s="30" t="s">
        <v>1421</v>
      </c>
      <c r="E1" s="31" t="s">
        <v>1235</v>
      </c>
      <c r="F1" s="3" t="s">
        <v>1234</v>
      </c>
      <c r="G1" s="30" t="s">
        <v>1420</v>
      </c>
      <c r="H1" s="30" t="s">
        <v>1421</v>
      </c>
      <c r="I1" s="31" t="s">
        <v>1235</v>
      </c>
      <c r="J1" s="3" t="s">
        <v>1234</v>
      </c>
      <c r="K1" s="30" t="s">
        <v>1420</v>
      </c>
      <c r="L1" s="30" t="s">
        <v>1421</v>
      </c>
    </row>
    <row r="2" spans="1:12" ht="156.6" customHeight="1" x14ac:dyDescent="0.3">
      <c r="A2" s="1" t="s">
        <v>359</v>
      </c>
      <c r="B2" s="2" t="s">
        <v>0</v>
      </c>
      <c r="C2" s="22" t="s">
        <v>1200</v>
      </c>
      <c r="D2" s="15" t="s">
        <v>1422</v>
      </c>
      <c r="E2" s="18" t="s">
        <v>1</v>
      </c>
      <c r="F2" s="20" t="s">
        <v>361</v>
      </c>
      <c r="G2" s="17" t="s">
        <v>1201</v>
      </c>
      <c r="H2" s="17" t="s">
        <v>1426</v>
      </c>
    </row>
    <row r="3" spans="1:12" ht="172.8" x14ac:dyDescent="0.3">
      <c r="A3" s="1" t="s">
        <v>359</v>
      </c>
      <c r="B3" s="1" t="s">
        <v>0</v>
      </c>
      <c r="E3" s="18" t="s">
        <v>22</v>
      </c>
      <c r="F3" s="20" t="s">
        <v>362</v>
      </c>
      <c r="G3" s="17" t="s">
        <v>1202</v>
      </c>
      <c r="H3" s="15" t="s">
        <v>1427</v>
      </c>
    </row>
    <row r="4" spans="1:12" ht="100.8" x14ac:dyDescent="0.3">
      <c r="A4" s="1" t="s">
        <v>359</v>
      </c>
      <c r="B4" s="1" t="s">
        <v>0</v>
      </c>
      <c r="E4" s="18" t="s">
        <v>33</v>
      </c>
      <c r="F4" s="20" t="s">
        <v>363</v>
      </c>
      <c r="G4" s="17" t="s">
        <v>1203</v>
      </c>
      <c r="H4" s="17" t="s">
        <v>1428</v>
      </c>
    </row>
    <row r="5" spans="1:12" ht="115.2" x14ac:dyDescent="0.3">
      <c r="A5" s="14" t="s">
        <v>364</v>
      </c>
      <c r="B5" s="19" t="s">
        <v>59</v>
      </c>
      <c r="C5" s="22" t="s">
        <v>1204</v>
      </c>
      <c r="D5" s="15" t="s">
        <v>1423</v>
      </c>
    </row>
    <row r="6" spans="1:12" ht="196.8" customHeight="1" x14ac:dyDescent="0.3">
      <c r="A6" s="1" t="s">
        <v>365</v>
      </c>
      <c r="B6" s="1" t="s">
        <v>73</v>
      </c>
      <c r="C6" s="15" t="s">
        <v>1205</v>
      </c>
      <c r="D6" s="15" t="s">
        <v>1424</v>
      </c>
      <c r="E6" s="18" t="s">
        <v>74</v>
      </c>
      <c r="F6" s="20" t="s">
        <v>366</v>
      </c>
      <c r="G6" s="17" t="s">
        <v>1206</v>
      </c>
      <c r="H6" s="15" t="s">
        <v>1429</v>
      </c>
    </row>
    <row r="7" spans="1:12" ht="144" x14ac:dyDescent="0.3">
      <c r="A7" s="1" t="s">
        <v>365</v>
      </c>
      <c r="B7" s="1" t="s">
        <v>73</v>
      </c>
      <c r="D7" s="58" t="s">
        <v>1451</v>
      </c>
      <c r="E7" s="18" t="s">
        <v>118</v>
      </c>
      <c r="F7" s="20" t="s">
        <v>367</v>
      </c>
      <c r="G7" s="17" t="s">
        <v>1207</v>
      </c>
      <c r="H7" s="17" t="s">
        <v>1430</v>
      </c>
    </row>
    <row r="8" spans="1:12" ht="43.2" x14ac:dyDescent="0.3">
      <c r="A8" s="1" t="s">
        <v>365</v>
      </c>
      <c r="B8" s="1" t="s">
        <v>73</v>
      </c>
      <c r="E8" s="18" t="s">
        <v>572</v>
      </c>
      <c r="F8" s="20" t="s">
        <v>573</v>
      </c>
      <c r="G8" s="17" t="s">
        <v>1208</v>
      </c>
      <c r="H8" s="17"/>
      <c r="I8" s="18"/>
      <c r="J8" s="19"/>
    </row>
    <row r="9" spans="1:12" ht="172.8" x14ac:dyDescent="0.3">
      <c r="A9" s="1" t="s">
        <v>368</v>
      </c>
      <c r="B9" s="1" t="s">
        <v>163</v>
      </c>
      <c r="C9" s="15" t="s">
        <v>1209</v>
      </c>
      <c r="D9" s="15" t="s">
        <v>1425</v>
      </c>
      <c r="E9" s="18" t="s">
        <v>164</v>
      </c>
      <c r="F9" s="20" t="s">
        <v>369</v>
      </c>
      <c r="G9" s="17" t="s">
        <v>1210</v>
      </c>
      <c r="I9" s="18" t="s">
        <v>772</v>
      </c>
      <c r="J9" s="19" t="s">
        <v>182</v>
      </c>
      <c r="K9" s="15" t="s">
        <v>1222</v>
      </c>
      <c r="L9" s="15" t="s">
        <v>1447</v>
      </c>
    </row>
    <row r="10" spans="1:12" ht="100.8" x14ac:dyDescent="0.3">
      <c r="A10" s="1" t="s">
        <v>368</v>
      </c>
      <c r="B10" s="2" t="s">
        <v>163</v>
      </c>
      <c r="C10" s="22"/>
      <c r="D10" s="22"/>
      <c r="E10" s="18" t="s">
        <v>164</v>
      </c>
      <c r="F10" s="20" t="s">
        <v>369</v>
      </c>
      <c r="G10" s="17"/>
      <c r="H10" s="17"/>
      <c r="I10" s="18" t="s">
        <v>777</v>
      </c>
      <c r="J10" s="19" t="s">
        <v>773</v>
      </c>
      <c r="K10" s="15" t="s">
        <v>1223</v>
      </c>
      <c r="L10" s="15" t="s">
        <v>1448</v>
      </c>
    </row>
    <row r="11" spans="1:12" ht="97.8" customHeight="1" x14ac:dyDescent="0.3">
      <c r="A11" s="1" t="s">
        <v>368</v>
      </c>
      <c r="B11" s="1" t="s">
        <v>163</v>
      </c>
      <c r="E11" s="18" t="s">
        <v>164</v>
      </c>
      <c r="F11" s="20" t="s">
        <v>369</v>
      </c>
      <c r="G11" s="17"/>
      <c r="H11" s="17"/>
      <c r="I11" s="18" t="s">
        <v>778</v>
      </c>
      <c r="J11" s="19" t="s">
        <v>774</v>
      </c>
      <c r="K11" s="15" t="s">
        <v>1224</v>
      </c>
      <c r="L11" s="15" t="s">
        <v>1450</v>
      </c>
    </row>
    <row r="12" spans="1:12" s="23" customFormat="1" ht="72" x14ac:dyDescent="0.3">
      <c r="A12" s="26" t="s">
        <v>368</v>
      </c>
      <c r="B12" s="26" t="s">
        <v>163</v>
      </c>
      <c r="C12" s="24"/>
      <c r="D12" s="24"/>
      <c r="E12" s="27" t="s">
        <v>164</v>
      </c>
      <c r="F12" s="28" t="s">
        <v>369</v>
      </c>
      <c r="G12" s="25"/>
      <c r="H12" s="17"/>
      <c r="I12" s="27" t="s">
        <v>776</v>
      </c>
      <c r="J12" s="29" t="s">
        <v>775</v>
      </c>
      <c r="K12" s="24" t="s">
        <v>1225</v>
      </c>
      <c r="L12" s="15" t="s">
        <v>1449</v>
      </c>
    </row>
    <row r="13" spans="1:12" ht="144" x14ac:dyDescent="0.3">
      <c r="A13" s="1" t="s">
        <v>368</v>
      </c>
      <c r="B13" s="1" t="s">
        <v>163</v>
      </c>
      <c r="E13" s="18" t="s">
        <v>185</v>
      </c>
      <c r="F13" s="20" t="s">
        <v>370</v>
      </c>
      <c r="G13" s="17" t="s">
        <v>1211</v>
      </c>
      <c r="H13" s="17" t="s">
        <v>1431</v>
      </c>
      <c r="I13" s="18" t="s">
        <v>371</v>
      </c>
      <c r="J13" s="20" t="s">
        <v>372</v>
      </c>
      <c r="K13" s="15" t="s">
        <v>1226</v>
      </c>
      <c r="L13" s="15" t="s">
        <v>1433</v>
      </c>
    </row>
    <row r="14" spans="1:12" ht="115.2" x14ac:dyDescent="0.3">
      <c r="A14" s="1" t="s">
        <v>368</v>
      </c>
      <c r="B14" s="1" t="s">
        <v>163</v>
      </c>
      <c r="E14" s="18" t="s">
        <v>185</v>
      </c>
      <c r="F14" s="20" t="s">
        <v>370</v>
      </c>
      <c r="G14" s="17"/>
      <c r="H14" s="17"/>
      <c r="I14" s="18" t="s">
        <v>373</v>
      </c>
      <c r="J14" s="20" t="s">
        <v>374</v>
      </c>
      <c r="K14" s="15" t="s">
        <v>1227</v>
      </c>
      <c r="L14" s="15" t="s">
        <v>1434</v>
      </c>
    </row>
    <row r="15" spans="1:12" ht="115.2" x14ac:dyDescent="0.3">
      <c r="A15" s="1" t="s">
        <v>368</v>
      </c>
      <c r="B15" s="1" t="s">
        <v>163</v>
      </c>
      <c r="E15" s="18" t="s">
        <v>185</v>
      </c>
      <c r="F15" s="20" t="s">
        <v>370</v>
      </c>
      <c r="G15" s="17"/>
      <c r="H15" s="17"/>
      <c r="I15" s="18" t="s">
        <v>985</v>
      </c>
      <c r="J15" s="20" t="s">
        <v>986</v>
      </c>
      <c r="K15" s="15" t="s">
        <v>1228</v>
      </c>
      <c r="L15" s="15" t="s">
        <v>1435</v>
      </c>
    </row>
    <row r="16" spans="1:12" ht="129.6" x14ac:dyDescent="0.3">
      <c r="A16" s="1" t="s">
        <v>368</v>
      </c>
      <c r="B16" s="1" t="s">
        <v>163</v>
      </c>
      <c r="E16" s="18" t="s">
        <v>250</v>
      </c>
      <c r="F16" s="20" t="s">
        <v>1018</v>
      </c>
      <c r="G16" s="17" t="s">
        <v>1212</v>
      </c>
      <c r="H16" s="17" t="s">
        <v>1432</v>
      </c>
      <c r="I16" s="18" t="s">
        <v>1041</v>
      </c>
      <c r="J16" s="19" t="s">
        <v>1019</v>
      </c>
      <c r="K16" s="15" t="s">
        <v>1229</v>
      </c>
      <c r="L16" s="15" t="s">
        <v>1436</v>
      </c>
    </row>
    <row r="17" spans="1:12" ht="100.8" x14ac:dyDescent="0.3">
      <c r="A17" s="1" t="s">
        <v>368</v>
      </c>
      <c r="B17" s="1" t="s">
        <v>163</v>
      </c>
      <c r="E17" s="18" t="s">
        <v>250</v>
      </c>
      <c r="F17" s="20" t="s">
        <v>1018</v>
      </c>
      <c r="G17" s="17"/>
      <c r="H17" s="17"/>
      <c r="I17" s="18" t="s">
        <v>1020</v>
      </c>
      <c r="J17" s="19" t="s">
        <v>1021</v>
      </c>
      <c r="K17" s="15" t="s">
        <v>1230</v>
      </c>
      <c r="L17" s="15" t="s">
        <v>1437</v>
      </c>
    </row>
    <row r="18" spans="1:12" ht="100.8" x14ac:dyDescent="0.3">
      <c r="A18" s="1" t="s">
        <v>368</v>
      </c>
      <c r="B18" s="1" t="s">
        <v>163</v>
      </c>
      <c r="E18" s="18" t="s">
        <v>285</v>
      </c>
      <c r="F18" s="20" t="s">
        <v>1040</v>
      </c>
      <c r="G18" s="17" t="s">
        <v>1213</v>
      </c>
      <c r="H18" s="15" t="s">
        <v>1441</v>
      </c>
      <c r="I18" s="18" t="s">
        <v>1191</v>
      </c>
      <c r="J18" s="19" t="s">
        <v>1042</v>
      </c>
      <c r="K18" s="15" t="s">
        <v>1231</v>
      </c>
      <c r="L18" s="15" t="s">
        <v>1438</v>
      </c>
    </row>
    <row r="19" spans="1:12" ht="100.8" x14ac:dyDescent="0.3">
      <c r="A19" s="1" t="s">
        <v>368</v>
      </c>
      <c r="B19" s="1" t="s">
        <v>163</v>
      </c>
      <c r="E19" s="18" t="s">
        <v>1192</v>
      </c>
      <c r="F19" s="20" t="s">
        <v>1040</v>
      </c>
      <c r="G19" s="17"/>
      <c r="H19" s="17"/>
      <c r="I19" s="18" t="s">
        <v>1193</v>
      </c>
      <c r="J19" s="19" t="s">
        <v>1043</v>
      </c>
      <c r="K19" s="15" t="s">
        <v>1232</v>
      </c>
      <c r="L19" s="15" t="s">
        <v>1439</v>
      </c>
    </row>
    <row r="20" spans="1:12" ht="100.8" customHeight="1" x14ac:dyDescent="0.3">
      <c r="A20" s="1" t="s">
        <v>368</v>
      </c>
      <c r="B20" s="1" t="s">
        <v>163</v>
      </c>
      <c r="E20" s="18" t="s">
        <v>1192</v>
      </c>
      <c r="F20" s="20" t="s">
        <v>1040</v>
      </c>
      <c r="G20" s="17"/>
      <c r="H20" s="17"/>
      <c r="I20" s="18" t="s">
        <v>1195</v>
      </c>
      <c r="J20" s="19" t="s">
        <v>1045</v>
      </c>
      <c r="K20" s="15" t="s">
        <v>1233</v>
      </c>
      <c r="L20" s="15" t="s">
        <v>1440</v>
      </c>
    </row>
    <row r="21" spans="1:12" ht="130.19999999999999" customHeight="1" x14ac:dyDescent="0.3">
      <c r="A21" s="1" t="s">
        <v>368</v>
      </c>
      <c r="B21" s="1" t="s">
        <v>163</v>
      </c>
      <c r="E21" s="18" t="s">
        <v>1197</v>
      </c>
      <c r="F21" s="20" t="s">
        <v>375</v>
      </c>
      <c r="G21" s="17" t="s">
        <v>1214</v>
      </c>
      <c r="H21" s="17" t="s">
        <v>1442</v>
      </c>
    </row>
    <row r="22" spans="1:12" ht="142.80000000000001" customHeight="1" x14ac:dyDescent="0.3">
      <c r="A22" s="1" t="s">
        <v>368</v>
      </c>
      <c r="B22" s="1" t="s">
        <v>163</v>
      </c>
      <c r="E22" s="18" t="s">
        <v>1196</v>
      </c>
      <c r="F22" s="20" t="s">
        <v>376</v>
      </c>
      <c r="G22" s="17" t="s">
        <v>1215</v>
      </c>
      <c r="H22" s="17" t="s">
        <v>1443</v>
      </c>
    </row>
    <row r="23" spans="1:12" ht="144.6" customHeight="1" x14ac:dyDescent="0.3">
      <c r="A23" s="1" t="s">
        <v>368</v>
      </c>
      <c r="B23" s="1" t="s">
        <v>163</v>
      </c>
      <c r="E23" s="18" t="s">
        <v>1198</v>
      </c>
      <c r="F23" s="20" t="s">
        <v>377</v>
      </c>
      <c r="G23" s="17" t="s">
        <v>1216</v>
      </c>
      <c r="H23" s="17" t="s">
        <v>1444</v>
      </c>
    </row>
    <row r="24" spans="1:12" ht="115.2" x14ac:dyDescent="0.3">
      <c r="A24" s="1" t="s">
        <v>368</v>
      </c>
      <c r="B24" s="1" t="s">
        <v>163</v>
      </c>
      <c r="E24" s="18" t="s">
        <v>1199</v>
      </c>
      <c r="F24" s="20" t="s">
        <v>378</v>
      </c>
      <c r="G24" s="17" t="s">
        <v>1217</v>
      </c>
      <c r="H24" s="17" t="s">
        <v>1446</v>
      </c>
    </row>
    <row r="25" spans="1:12" ht="115.2" x14ac:dyDescent="0.3">
      <c r="A25" s="1" t="s">
        <v>379</v>
      </c>
      <c r="B25" s="2" t="s">
        <v>380</v>
      </c>
      <c r="C25" s="22" t="s">
        <v>1220</v>
      </c>
      <c r="D25" s="22"/>
    </row>
    <row r="26" spans="1:12" x14ac:dyDescent="0.3">
      <c r="A26" s="1" t="s">
        <v>381</v>
      </c>
      <c r="B26" s="2" t="s">
        <v>334</v>
      </c>
      <c r="C26" s="22"/>
      <c r="D26" s="22"/>
    </row>
    <row r="27" spans="1:12" ht="58.8" customHeight="1" x14ac:dyDescent="0.3">
      <c r="A27" s="1" t="s">
        <v>360</v>
      </c>
      <c r="B27" s="2" t="s">
        <v>337</v>
      </c>
      <c r="C27" s="22" t="s">
        <v>1218</v>
      </c>
      <c r="D27" s="22"/>
    </row>
    <row r="28" spans="1:12" ht="58.8" customHeight="1" x14ac:dyDescent="0.3">
      <c r="A28" s="1" t="s">
        <v>382</v>
      </c>
      <c r="B28" s="2" t="s">
        <v>340</v>
      </c>
      <c r="C28" s="22" t="s">
        <v>1219</v>
      </c>
      <c r="D2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4</vt:i4>
      </vt:variant>
      <vt:variant>
        <vt:lpstr>Névvel ellátott tartományok</vt:lpstr>
      </vt:variant>
      <vt:variant>
        <vt:i4>2</vt:i4>
      </vt:variant>
    </vt:vector>
  </HeadingPairs>
  <TitlesOfParts>
    <vt:vector size="6" baseType="lpstr">
      <vt:lpstr>Terméklista</vt:lpstr>
      <vt:lpstr>Kiegészítő_Mátrix</vt:lpstr>
      <vt:lpstr>Munka1</vt:lpstr>
      <vt:lpstr>Kategória leírások</vt:lpstr>
      <vt:lpstr>Terméklista!Nyomtatási_cím</vt:lpstr>
      <vt:lpstr>Terméklista!Nyomtatási_terület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Koczó</dc:creator>
  <cp:lastModifiedBy>Anita Koczó</cp:lastModifiedBy>
  <cp:lastPrinted>2026-10-02T14:13:59Z</cp:lastPrinted>
  <dcterms:created xsi:type="dcterms:W3CDTF">2026-04-20T12:32:38Z</dcterms:created>
  <dcterms:modified xsi:type="dcterms:W3CDTF">2026-10-05T09:25:46Z</dcterms:modified>
</cp:coreProperties>
</file>